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_Hướng dẫn" sheetId="1" state="visible" r:id="rId1"/>
    <sheet xmlns:r="http://schemas.openxmlformats.org/officeDocument/2006/relationships" name="0_Đầu vào" sheetId="2" state="visible" r:id="rId2"/>
    <sheet xmlns:r="http://schemas.openxmlformats.org/officeDocument/2006/relationships" name="1_Danh sách việc" sheetId="3" state="visible" r:id="rId3"/>
    <sheet xmlns:r="http://schemas.openxmlformats.org/officeDocument/2006/relationships" name="2_Mức tự động" sheetId="4" state="visible" r:id="rId4"/>
    <sheet xmlns:r="http://schemas.openxmlformats.org/officeDocument/2006/relationships" name="3_Bảng lộ trình" sheetId="5" state="visible" r:id="rId5"/>
    <sheet xmlns:r="http://schemas.openxmlformats.org/officeDocument/2006/relationships" name="4_Rà soát" sheetId="6" state="visible" r:id="rId6"/>
    <sheet xmlns:r="http://schemas.openxmlformats.org/officeDocument/2006/relationships" name="5_Slide lãnh đạo" sheetId="7" state="visible" r:id="rId7"/>
    <sheet xmlns:r="http://schemas.openxmlformats.org/officeDocument/2006/relationships" name="6_Tự kiểm tra" sheetId="8" state="visible" r:id="rId8"/>
    <sheet xmlns:r="http://schemas.openxmlformats.org/officeDocument/2006/relationships" name="7_Thang điểm"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RED]\-#,##0"/>
    <numFmt numFmtId="165" formatCode="0.0"/>
  </numFmts>
  <fonts count="11">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95959"/>
      <sz val="11"/>
    </font>
    <font>
      <name val="Cambria"/>
      <charset val="1"/>
      <family val="0"/>
      <b val="1"/>
      <color rgb="FFFFFFFF"/>
      <sz val="11"/>
    </font>
    <font>
      <name val="Cambria"/>
      <charset val="1"/>
      <family val="0"/>
      <b val="1"/>
      <sz val="11"/>
    </font>
    <font>
      <name val="Calibri"/>
      <charset val="1"/>
      <family val="0"/>
      <sz val="11"/>
    </font>
    <font>
      <name val="Calibri"/>
      <charset val="1"/>
      <family val="0"/>
      <i val="1"/>
      <color rgb="FF595959"/>
      <sz val="10"/>
    </font>
    <font>
      <name val="Cambria"/>
      <charset val="1"/>
      <family val="0"/>
      <b val="1"/>
      <sz val="12"/>
    </font>
  </fonts>
  <fills count="5">
    <fill>
      <patternFill/>
    </fill>
    <fill>
      <patternFill patternType="gray125"/>
    </fill>
    <fill>
      <patternFill patternType="solid">
        <fgColor rgb="FFFFF2CC"/>
        <bgColor rgb="FFE2EFDA"/>
      </patternFill>
    </fill>
    <fill>
      <patternFill patternType="solid">
        <fgColor rgb="FFE2EFDA"/>
        <bgColor rgb="FFFFF2CC"/>
      </patternFill>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2" borderId="0" applyAlignment="1" pivotButton="0" quotePrefix="0" xfId="0">
      <alignment horizontal="general" vertical="bottom"/>
    </xf>
    <xf numFmtId="0" fontId="0" fillId="3" borderId="0" applyAlignment="1" pivotButton="0" quotePrefix="0" xfId="0">
      <alignment horizontal="general" vertical="bottom"/>
    </xf>
    <xf numFmtId="0" fontId="6" fillId="4" borderId="0" applyAlignment="1" pivotButton="0" quotePrefix="0" xfId="0">
      <alignment horizontal="general" vertical="bottom" wrapText="1"/>
    </xf>
    <xf numFmtId="0" fontId="0" fillId="0" borderId="1" applyAlignment="1" pivotButton="0" quotePrefix="0" xfId="0">
      <alignment horizontal="general" vertical="top" wrapText="1"/>
    </xf>
    <xf numFmtId="0" fontId="0" fillId="2" borderId="1" applyAlignment="1" applyProtection="1" pivotButton="0" quotePrefix="0" xfId="0">
      <alignment horizontal="general" vertical="top" wrapText="1"/>
      <protection locked="0" hidden="0"/>
    </xf>
    <xf numFmtId="0" fontId="7" fillId="0" borderId="0" applyAlignment="1" pivotButton="0" quotePrefix="0" xfId="0">
      <alignment horizontal="general" vertical="bottom"/>
    </xf>
    <xf numFmtId="0" fontId="6" fillId="4" borderId="0" applyAlignment="1" pivotButton="0" quotePrefix="0" xfId="0">
      <alignment horizontal="general" vertical="center" wrapText="1"/>
    </xf>
    <xf numFmtId="0" fontId="0" fillId="0" borderId="1" applyAlignment="1" pivotButton="0" quotePrefix="0" xfId="0">
      <alignment horizontal="general" vertical="bottom"/>
    </xf>
    <xf numFmtId="0" fontId="0" fillId="3" borderId="1" applyAlignment="1" pivotButton="0" quotePrefix="0" xfId="0">
      <alignment horizontal="general" vertical="top" wrapText="1"/>
    </xf>
    <xf numFmtId="0" fontId="0" fillId="3" borderId="1" applyAlignment="1" pivotButton="0" quotePrefix="0" xfId="0">
      <alignment horizontal="center" vertical="bottom"/>
    </xf>
    <xf numFmtId="0" fontId="8" fillId="2" borderId="0" applyAlignment="1" applyProtection="1" pivotButton="0" quotePrefix="0" xfId="0">
      <alignment horizontal="general" vertical="bottom"/>
      <protection locked="0" hidden="0"/>
    </xf>
    <xf numFmtId="9" fontId="8" fillId="2" borderId="0" applyAlignment="1" applyProtection="1" pivotButton="0" quotePrefix="0" xfId="0">
      <alignment horizontal="general" vertical="bottom"/>
      <protection locked="0" hidden="0"/>
    </xf>
    <xf numFmtId="164" fontId="8" fillId="3" borderId="0" applyAlignment="1" pivotButton="0" quotePrefix="0" xfId="0">
      <alignment horizontal="general" vertical="bottom"/>
    </xf>
    <xf numFmtId="9" fontId="8" fillId="3" borderId="0" applyAlignment="1" pivotButton="0" quotePrefix="0" xfId="0">
      <alignment horizontal="general" vertical="bottom"/>
    </xf>
    <xf numFmtId="0" fontId="8" fillId="3" borderId="0" applyAlignment="1" pivotButton="0" quotePrefix="0" xfId="0">
      <alignment horizontal="general" vertical="bottom"/>
    </xf>
    <xf numFmtId="0" fontId="8" fillId="0" borderId="0" applyAlignment="1" pivotButton="0" quotePrefix="0" xfId="0">
      <alignment horizontal="general" vertical="bottom"/>
    </xf>
    <xf numFmtId="164" fontId="8" fillId="2" borderId="0" applyAlignment="1" applyProtection="1" pivotButton="0" quotePrefix="0" xfId="0">
      <alignment horizontal="general" vertical="bottom"/>
      <protection locked="0" hidden="0"/>
    </xf>
    <xf numFmtId="0" fontId="9" fillId="0" borderId="0" applyAlignment="1" pivotButton="0" quotePrefix="0" xfId="0">
      <alignment horizontal="general" vertical="bottom"/>
    </xf>
    <xf numFmtId="165" fontId="8" fillId="2" borderId="0" applyAlignment="1" applyProtection="1" pivotButton="0" quotePrefix="0" xfId="0">
      <alignment horizontal="general" vertical="bottom"/>
      <protection locked="0" hidden="0"/>
    </xf>
    <xf numFmtId="1" fontId="8" fillId="2" borderId="0" applyAlignment="1" applyProtection="1" pivotButton="0" quotePrefix="0" xfId="0">
      <alignment horizontal="general" vertical="bottom"/>
      <protection locked="0" hidden="0"/>
    </xf>
    <xf numFmtId="0" fontId="7" fillId="0" borderId="1" applyAlignment="1" pivotButton="0" quotePrefix="0" xfId="0">
      <alignment horizontal="general" vertical="top" wrapText="1"/>
    </xf>
    <xf numFmtId="0" fontId="7" fillId="0" borderId="1" applyAlignment="1" pivotButton="0" quotePrefix="0" xfId="0">
      <alignment horizontal="general" vertical="bottom"/>
    </xf>
    <xf numFmtId="1" fontId="8"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2" borderId="0" applyAlignment="1" applyProtection="1" pivotButton="0" quotePrefix="0" xfId="0">
      <alignment horizontal="general" vertical="bottom"/>
      <protection locked="0" hidden="0"/>
    </xf>
    <xf numFmtId="0" fontId="10"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2" borderId="0" applyAlignment="1" pivotButton="0" quotePrefix="0" xfId="0">
      <alignment horizontal="general" vertical="bottom"/>
    </xf>
    <xf numFmtId="0" fontId="0" fillId="3" borderId="0" applyAlignment="1" pivotButton="0" quotePrefix="0" xfId="0">
      <alignment horizontal="general" vertical="bottom"/>
    </xf>
    <xf numFmtId="0" fontId="6" fillId="4" borderId="0" applyAlignment="1" pivotButton="0" quotePrefix="0" xfId="0">
      <alignment horizontal="general" vertical="bottom" wrapText="1"/>
    </xf>
    <xf numFmtId="0" fontId="0" fillId="0" borderId="1" applyAlignment="1" pivotButton="0" quotePrefix="0" xfId="0">
      <alignment horizontal="general" vertical="top" wrapText="1"/>
    </xf>
    <xf numFmtId="0" fontId="0" fillId="2" borderId="1" applyAlignment="1" applyProtection="1" pivotButton="0" quotePrefix="0" xfId="0">
      <alignment horizontal="general" vertical="top" wrapText="1"/>
      <protection locked="0" hidden="0"/>
    </xf>
    <xf numFmtId="0" fontId="7" fillId="0" borderId="0" applyAlignment="1" pivotButton="0" quotePrefix="0" xfId="0">
      <alignment horizontal="general" vertical="bottom"/>
    </xf>
    <xf numFmtId="0" fontId="6" fillId="4" borderId="0" applyAlignment="1" pivotButton="0" quotePrefix="0" xfId="0">
      <alignment horizontal="general" vertical="center" wrapText="1"/>
    </xf>
    <xf numFmtId="0" fontId="0" fillId="0" borderId="1" applyAlignment="1" pivotButton="0" quotePrefix="0" xfId="0">
      <alignment horizontal="general" vertical="bottom"/>
    </xf>
    <xf numFmtId="0" fontId="0" fillId="3" borderId="1" applyAlignment="1" pivotButton="0" quotePrefix="0" xfId="0">
      <alignment horizontal="general" vertical="top" wrapText="1"/>
    </xf>
    <xf numFmtId="0" fontId="0" fillId="3" borderId="1" applyAlignment="1" pivotButton="0" quotePrefix="0" xfId="0">
      <alignment horizontal="center" vertical="bottom"/>
    </xf>
    <xf numFmtId="0" fontId="8" fillId="2" borderId="0" applyAlignment="1" applyProtection="1" pivotButton="0" quotePrefix="0" xfId="0">
      <alignment horizontal="general" vertical="bottom"/>
      <protection locked="0" hidden="0"/>
    </xf>
    <xf numFmtId="9" fontId="8" fillId="2" borderId="0" applyAlignment="1" applyProtection="1" pivotButton="0" quotePrefix="0" xfId="0">
      <alignment horizontal="general" vertical="bottom"/>
      <protection locked="0" hidden="0"/>
    </xf>
    <xf numFmtId="164" fontId="8" fillId="3" borderId="0" applyAlignment="1" pivotButton="0" quotePrefix="0" xfId="0">
      <alignment horizontal="general" vertical="bottom"/>
    </xf>
    <xf numFmtId="9" fontId="8" fillId="3" borderId="0" applyAlignment="1" pivotButton="0" quotePrefix="0" xfId="0">
      <alignment horizontal="general" vertical="bottom"/>
    </xf>
    <xf numFmtId="0" fontId="8" fillId="3" borderId="0" applyAlignment="1" pivotButton="0" quotePrefix="0" xfId="0">
      <alignment horizontal="general" vertical="bottom"/>
    </xf>
    <xf numFmtId="0" fontId="8" fillId="0" borderId="0" applyAlignment="1" pivotButton="0" quotePrefix="0" xfId="0">
      <alignment horizontal="general" vertical="bottom"/>
    </xf>
    <xf numFmtId="164" fontId="8" fillId="2" borderId="0" applyAlignment="1" applyProtection="1" pivotButton="0" quotePrefix="0" xfId="0">
      <alignment horizontal="general" vertical="bottom"/>
      <protection locked="0" hidden="0"/>
    </xf>
    <xf numFmtId="0" fontId="9" fillId="0" borderId="0" applyAlignment="1" pivotButton="0" quotePrefix="0" xfId="0">
      <alignment horizontal="general" vertical="bottom"/>
    </xf>
    <xf numFmtId="165" fontId="8" fillId="2" borderId="0" applyAlignment="1" applyProtection="1" pivotButton="0" quotePrefix="0" xfId="0">
      <alignment horizontal="general" vertical="bottom"/>
      <protection locked="0" hidden="0"/>
    </xf>
    <xf numFmtId="1" fontId="8" fillId="2" borderId="0" applyAlignment="1" applyProtection="1" pivotButton="0" quotePrefix="0" xfId="0">
      <alignment horizontal="general" vertical="bottom"/>
      <protection locked="0" hidden="0"/>
    </xf>
    <xf numFmtId="0" fontId="7" fillId="0" borderId="1" applyAlignment="1" pivotButton="0" quotePrefix="0" xfId="0">
      <alignment horizontal="general" vertical="top" wrapText="1"/>
    </xf>
    <xf numFmtId="0" fontId="7" fillId="0" borderId="1" applyAlignment="1" pivotButton="0" quotePrefix="0" xfId="0">
      <alignment horizontal="general" vertical="bottom"/>
    </xf>
    <xf numFmtId="1" fontId="8"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2" borderId="0" applyAlignment="1" applyProtection="1" pivotButton="0" quotePrefix="0" xfId="0">
      <alignment horizontal="general" vertical="bottom"/>
      <protection locked="0" hidden="0"/>
    </xf>
    <xf numFmtId="0" fontId="10"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32" min="1" max="1"/>
  </cols>
  <sheetData>
    <row r="1" ht="17.25" customHeight="1" s="33">
      <c r="A1" s="34" t="inlineStr">
        <is>
          <t>CS13 · Lộ trình sản phẩm AI — File thực hành · Đề 1 · SổSạch</t>
        </is>
      </c>
    </row>
    <row r="2" ht="15" customHeight="1" s="33">
      <c r="A2" s="35" t="inlineStr">
        <is>
          <t>AI in Action · Track 1 · Khóa 4. FILE LÀM BÀI CỦA NHÓM · Đề 1 · SổSạch. Dữ liệu của đề nằm trong file CS13_HoSoTinhHuong.pdf; file CS13_Roadmap_Mau.xlsx là bản mẫu đã điền (một sản phẩm khác) để xem cách điền.</t>
        </is>
      </c>
    </row>
    <row r="4" ht="15" customHeight="1" s="33">
      <c r="A4" s="32" t="inlineStr">
        <is>
          <t>Luật chơi: CHỈ điền vào ô màu VÀNG. Ô màu XANH là công thức và đã được khóa. Bắt đầu bằng trang 0_Đầu vào (Nhiệm vụ 0: đọc hồ sơ tình huống).</t>
        </is>
      </c>
    </row>
    <row r="5" ht="15" customHeight="1" s="33">
      <c r="A5" s="32" t="inlineStr">
        <is>
          <t>Thứ tự làm: 0 Đọc hồ sơ → 1 Danh sách việc → 2 Mức tự động → 3 Bảng lộ trình → 4 Rà soát → 6 Tự kiểm tra. Trang 5 (slide lãnh đạo) làm ở nhà.</t>
        </is>
      </c>
    </row>
    <row r="6" ht="15" customHeight="1" s="33">
      <c r="A6" s="32" t="inlineStr">
        <is>
          <t>Số liệu kinh tế của đề đã điền sẵn ở trang 2, dòng 12–20. Không cần file của buổi nào khác: mọi dữ liệu cần dùng nằm trong hồ sơ tình huống, Đề 1.</t>
        </is>
      </c>
    </row>
    <row r="7" ht="15" customHeight="1" s="33">
      <c r="A7" s="32" t="inlineStr">
        <is>
          <t>Lộ trình theo GIẢ THUYẾT: mỗi hạng mục phải trả lời 'Ta tin rằng làm X sẽ giúp Y đạt Z; biết đúng khi chỉ số W đạt ngưỡng V'.</t>
        </is>
      </c>
    </row>
    <row r="8" ht="15" customHeight="1" s="33">
      <c r="A8" s="32" t="inlineStr">
        <is>
          <t>Tên file nộp: [Nhom]_CS13.xlsx · Nộp bản có Nhiệm vụ 1–4 lên VLearn trước 18:00 ngày 16/10. Trang 5 (Nhiệm vụ 5, làm ở nhà) nộp trước 23:59 ngày 19/10.</t>
        </is>
      </c>
    </row>
    <row r="9" ht="15" customHeight="1" s="33">
      <c r="A9" s="32" t="inlineStr">
        <is>
          <t>Tuân thủ: Luật Trí tuệ nhân tạo số 134/2025/QH15 (hiệu lực 01/3/2026) chia hệ thống AI thành 3 mức rủi ro và yêu cầu người dùng được thông tin khi tương tác với AI. Đọc văn bản gốc trước khi ghi vào bài.</t>
        </is>
      </c>
    </row>
    <row r="11" ht="15" customHeight="1" s="33">
      <c r="A11" s="32" t="inlineStr">
        <is>
          <t>Chú thích màu:</t>
        </is>
      </c>
    </row>
    <row r="12" ht="15" customHeight="1" s="33">
      <c r="A12" s="36" t="inlineStr">
        <is>
          <t>Ô điền giả định (không khóa)</t>
        </is>
      </c>
    </row>
    <row r="13" ht="15" customHeight="1" s="33">
      <c r="A13" s="37" t="inlineStr">
        <is>
          <t>Ô công thức (tự tính, đã khóa)</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32" min="1" max="1"/>
    <col width="14" customWidth="1" style="32" min="2" max="2"/>
    <col width="46" customWidth="1" style="32" min="3" max="4"/>
    <col width="36" customWidth="1" style="32" min="5" max="5"/>
  </cols>
  <sheetData>
    <row r="1" ht="17.25" customHeight="1" s="33">
      <c r="A1" s="34" t="inlineStr">
        <is>
          <t>0 · Nhiệm vụ 0: đọc hồ sơ tình huống, Đề 1 (5 phút)</t>
        </is>
      </c>
    </row>
    <row r="2" ht="15" customHeight="1" s="33">
      <c r="A2" s="35" t="inlineStr">
        <is>
          <t>Cả nhóm đọc cùng một hồ sơ trước khi điền. Nhiệm vụ 0 không tính điểm; đánh dấu "Có" khi cả nhóm đã đọc mục đó.</t>
        </is>
      </c>
    </row>
    <row r="4" ht="26.25" customHeight="1" s="33">
      <c r="A4" s="38" t="inlineStr">
        <is>
          <t>Mục trong hồ sơ tình huống</t>
        </is>
      </c>
      <c r="B4" s="38" t="inlineStr">
        <is>
          <t>Nhóm đã đọc chưa?</t>
        </is>
      </c>
      <c r="C4" s="38" t="inlineStr">
        <is>
          <t>Dùng ở đâu trong file</t>
        </is>
      </c>
      <c r="D4" s="38" t="inlineStr">
        <is>
          <t>Lưu ý</t>
        </is>
      </c>
      <c r="E4" s="38" t="inlineStr">
        <is>
          <t>Ghi chú của nhóm</t>
        </is>
      </c>
    </row>
    <row r="5" ht="33.75" customHeight="1" s="33">
      <c r="A5" s="39" t="inlineStr">
        <is>
          <t>Số liệu kinh tế của đề (9 dòng)</t>
        </is>
      </c>
      <c r="B5" s="40" t="n"/>
      <c r="C5" s="39" t="inlineStr">
        <is>
          <t>Đã điền sẵn ở trang 2, dòng 12–20: chi phí mỗi việc, biên lợi nhuận, điều kiện dừng</t>
        </is>
      </c>
      <c r="D5" s="39" t="inlineStr">
        <is>
          <t>Đọc để hiểu; không cần chép</t>
        </is>
      </c>
      <c r="E5" s="40" t="n"/>
    </row>
    <row r="6" ht="33.75" customHeight="1" s="33">
      <c r="A6" s="39" t="inlineStr">
        <is>
          <t>Bối cảnh, sản phẩm, "1 việc" là gì</t>
        </is>
      </c>
      <c r="B6" s="40" t="n"/>
      <c r="C6" s="39" t="inlineStr">
        <is>
          <t>Giả thuyết và chỉ số ở trang 1</t>
        </is>
      </c>
      <c r="D6" s="39" t="inlineStr">
        <is>
          <t>Viết giả thuyết theo đúng "1 việc" của đề</t>
        </is>
      </c>
      <c r="E6" s="40" t="inlineStr">
        <is>
          <t>"1 việc" = 1 hóa đơn được đọc và nhập; khách = văn phòng kế toán, bình quân 1.760 hóa đơn/tháng</t>
        </is>
      </c>
    </row>
    <row r="7" ht="33.75" customHeight="1" s="33">
      <c r="A7" s="39" t="inlineStr">
        <is>
          <t>6 việc gợi ý</t>
        </is>
      </c>
      <c r="B7" s="40" t="n"/>
      <c r="C7" s="39" t="inlineStr">
        <is>
          <t>Trang 1, cột B–C; nhóm được thêm việc của mình</t>
        </is>
      </c>
      <c r="D7" s="39" t="inlineStr">
        <is>
          <t>Giữ, bỏ hay đổi thứ tự đều phải ghi lý do ở cột Q</t>
        </is>
      </c>
      <c r="E7" s="40" t="n"/>
    </row>
    <row r="8" ht="33.75" customHeight="1" s="33">
      <c r="A8" s="39" t="inlineStr">
        <is>
          <t>Kết quả đánh giá đã có (bộ đề, cổng phát hành)</t>
        </is>
      </c>
      <c r="B8" s="40" t="n"/>
      <c r="C8" s="39" t="inlineStr">
        <is>
          <t>Cổng đánh giá ở trang 2; việc cần làm trước ở trang 3</t>
        </is>
      </c>
      <c r="D8" s="39" t="inlineStr">
        <is>
          <t>Đề 2, 3: kết luận chưa phải "Phát hành" → có việc phải làm trước</t>
        </is>
      </c>
      <c r="E8" s="40" t="n"/>
    </row>
    <row r="9" ht="33.75" customHeight="1" s="33">
      <c r="A9" s="39" t="inlineStr">
        <is>
          <t>Chuyên gia và số giờ của họ</t>
        </is>
      </c>
      <c r="B9" s="40" t="n"/>
      <c r="C9" s="39" t="inlineStr">
        <is>
          <t>Dòng "Điều kiện cần" ở trang 3; ô "Cần gì" ở trang 5</t>
        </is>
      </c>
      <c r="D9" s="39" t="inlineStr">
        <is>
          <t>Dẫn đúng số giờ trong hồ sơ</t>
        </is>
      </c>
      <c r="E9" s="40" t="inlineStr">
        <is>
          <t>Ghi đúng tên chuyên gia và số giờ theo hồ sơ (kế toán trưởng duyệt bộ đề)</t>
        </is>
      </c>
    </row>
    <row r="10" ht="33.75" customHeight="1" s="33">
      <c r="A10" s="39" t="inlineStr">
        <is>
          <t>Gợi ý về người duyệt và mức tự động</t>
        </is>
      </c>
      <c r="B10" s="40" t="n"/>
      <c r="C10" s="39" t="inlineStr">
        <is>
          <t>Trang 2, cột H và I</t>
        </is>
      </c>
      <c r="D10" s="39" t="inlineStr">
        <is>
          <t>Đề 3: bác sĩ của bệnh viện không tính vào chi phí</t>
        </is>
      </c>
      <c r="E10" s="40" t="n"/>
    </row>
    <row r="12" ht="15" customHeight="1" s="33">
      <c r="A12" s="41" t="inlineStr">
        <is>
          <t>Số mục nhóm đã đọc</t>
        </is>
      </c>
      <c r="B12" s="37">
        <f>COUNTIF(B5:B10,"Có")</f>
        <v/>
      </c>
    </row>
    <row r="13" ht="15" customHeight="1" s="33">
      <c r="A13" s="35" t="inlineStr">
        <is>
          <t>Đủ 6/6 thì sang Nhiệm vụ 1.</t>
        </is>
      </c>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B5:B10" showDropDown="0" showInputMessage="0" showErrorMessage="0" allowBlank="1" type="list" errorStyle="stop" operator="between">
      <formula1>"Có,Chưa"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Q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32" min="1" max="1"/>
    <col width="30" customWidth="1" style="32" min="2" max="2"/>
    <col width="28" customWidth="1" style="32" min="3" max="3"/>
    <col width="38" customWidth="1" style="32" min="4" max="4"/>
    <col width="32" customWidth="1" style="32" min="5" max="5"/>
    <col width="8" customWidth="1" style="32" min="6" max="7"/>
    <col width="11" customWidth="1" style="32" min="8" max="8"/>
    <col width="8" customWidth="1" style="32" min="9" max="9"/>
    <col width="11" customWidth="1" style="32" min="10" max="10"/>
    <col width="10" customWidth="1" style="32" min="11" max="11"/>
    <col width="13" customWidth="1" style="32" min="12" max="12"/>
    <col width="10" customWidth="1" style="32" min="13" max="14"/>
    <col width="12" customWidth="1" style="32" min="15" max="15"/>
    <col width="14" customWidth="1" style="32" min="16" max="16"/>
    <col width="58" customWidth="1" style="32" min="17" max="17"/>
  </cols>
  <sheetData>
    <row r="1" ht="17.25" customHeight="1" s="33">
      <c r="A1" s="34" t="inlineStr">
        <is>
          <t>1 · Danh sách việc và chấm điểm ưu tiên</t>
        </is>
      </c>
    </row>
    <row r="2" ht="15" customHeight="1" s="33">
      <c r="A2" s="35" t="inlineStr">
        <is>
          <t>Điểm = Độ phủ × Tác động × Mức tự tin ÷ Công sức × (0,5 + 0,5 × sẵn sàng trung bình của dữ liệu và đánh giá) × (1 − 0,5 × rủi ro bị 'nuốt')</t>
        </is>
      </c>
    </row>
    <row r="4" ht="39" customHeight="1" s="33">
      <c r="A4" s="42" t="inlineStr">
        <is>
          <t>STT</t>
        </is>
      </c>
      <c r="B4" s="42" t="inlineStr">
        <is>
          <t>Việc</t>
        </is>
      </c>
      <c r="C4" s="42" t="inlineStr">
        <is>
          <t>Kết quả muốn đạt</t>
        </is>
      </c>
      <c r="D4" s="42" t="inlineStr">
        <is>
          <t>Giả thuyết (Ta tin rằng…)</t>
        </is>
      </c>
      <c r="E4" s="42" t="inlineStr">
        <is>
          <t>Chỉ số thành công và ngưỡng</t>
        </is>
      </c>
      <c r="F4" s="42" t="inlineStr">
        <is>
          <t>Độ phủ 1–5</t>
        </is>
      </c>
      <c r="G4" s="42" t="inlineStr">
        <is>
          <t>Tác động 1–5</t>
        </is>
      </c>
      <c r="H4" s="42" t="inlineStr">
        <is>
          <t>Mức tự tin 0,5 / 0,8 / 1</t>
        </is>
      </c>
      <c r="I4" s="42" t="inlineStr">
        <is>
          <t>Công sức 1–5</t>
        </is>
      </c>
      <c r="J4" s="42" t="inlineStr">
        <is>
          <t>Sẵn sàng dữ liệu 0–1</t>
        </is>
      </c>
      <c r="K4" s="42" t="inlineStr">
        <is>
          <t>Sẵn sàng đánh giá 0–1</t>
        </is>
      </c>
      <c r="L4" s="42" t="inlineStr">
        <is>
          <t>Rủi ro bị nuốt 0–1</t>
        </is>
      </c>
      <c r="M4" s="42" t="inlineStr">
        <is>
          <t>ĐIỂM</t>
        </is>
      </c>
      <c r="N4" s="42" t="inlineStr">
        <is>
          <t>Xếp hạng</t>
        </is>
      </c>
      <c r="O4" s="42" t="inlineStr">
        <is>
          <t>Chỉ số có con số?</t>
        </is>
      </c>
      <c r="P4" s="42" t="inlineStr">
        <is>
          <t>Tự làm / Mua / Chờ / Không làm</t>
        </is>
      </c>
      <c r="Q4" s="42" t="inlineStr">
        <is>
          <t>Lý do (đổi thứ tự, chọn mua hay chờ…)</t>
        </is>
      </c>
    </row>
    <row r="5" ht="34.5" customHeight="1" s="33">
      <c r="A5" s="43" t="n">
        <v>1</v>
      </c>
      <c r="B5" s="40" t="inlineStr">
        <is>
          <t>Đọc hóa đơn ảnh/PDF, tự trích trường (MST, số HĐ, ngày, tiền hàng, VAT)</t>
        </is>
      </c>
      <c r="C5" s="40" t="inlineStr">
        <is>
          <t>Giảm 50% giờ nhập hóa đơn ảnh của kế toán viên</t>
        </is>
      </c>
      <c r="D5" s="40" t="inlineStr">
        <is>
          <t>Ta tin rằng làm đọc tự động hóa đơn ảnh/PDF cho kế toán viên văn phòng dịch vụ sẽ giảm 50% giờ nhập liệu, vì nhập tay là việc tốn giờ nhất mỗi tháng</t>
        </is>
      </c>
      <c r="E5" s="40" t="inlineStr">
        <is>
          <t>Giờ nhập/100 hóa đơn giảm ≥ 50%; đúng ≥ 98% trường số tiền và MST trên 300 hóa đơn thật</t>
        </is>
      </c>
      <c r="F5" s="40" t="n">
        <v>5</v>
      </c>
      <c r="G5" s="40" t="n">
        <v>5</v>
      </c>
      <c r="H5" s="40" t="n">
        <v>0.8</v>
      </c>
      <c r="I5" s="40" t="n">
        <v>3</v>
      </c>
      <c r="J5" s="40" t="n">
        <v>0.8</v>
      </c>
      <c r="K5" s="40" t="n">
        <v>0.7</v>
      </c>
      <c r="L5" s="40" t="n">
        <v>0.4</v>
      </c>
      <c r="M5" s="44">
        <f>IF(COUNT(F5:L5)&lt;7,"",ROUND(F5*G5*H5/I5*(0.5+0.5*AVERAGE(J5:K5))*(1-0.5*L5),2))</f>
        <v/>
      </c>
      <c r="N5" s="44">
        <f>IF(M5="","",RANK(M5,$M$5:$M$14))</f>
        <v/>
      </c>
      <c r="O5" s="45">
        <f>IF(B5="","",IF(OR(D5="",E5=""),"Thiếu",IF(SUMPRODUCT(--ISNUMBER(SEARCH({"0","1","2","3","4","5","6","7","8","9"},E5)))&gt;0,"Có","Thiếu")))</f>
        <v/>
      </c>
      <c r="P5" s="46" t="inlineStr">
        <is>
          <t>Tự làm</t>
        </is>
      </c>
      <c r="Q5" s="46" t="inlineStr">
        <is>
          <t>Hạng 3 nhưng làm TRƯỚC: đây là lõi sản phẩm, đúng '1 việc' của đề (1 hóa đơn); việc hạng 1 và 2 chỉ có giá trị khi việc này chạy. Rủi ro bị nuốt 0,4: OCR chung khó với ảnh mờ, hóa đơn viết tay, mẫu Việt Nam</t>
        </is>
      </c>
    </row>
    <row r="6" ht="23.25" customHeight="1" s="33">
      <c r="A6" s="43" t="n">
        <v>2</v>
      </c>
      <c r="B6" s="40" t="inlineStr">
        <is>
          <t>Đối chiếu hóa đơn với dữ liệu hóa đơn điện tử trên cổng thuế</t>
        </is>
      </c>
      <c r="C6" s="40" t="inlineStr">
        <is>
          <t>Phát hiện sai lệch trước khi kê khai</t>
        </is>
      </c>
      <c r="D6" s="40" t="inlineStr">
        <is>
          <t>Ta tin rằng đối chiếu tự động với hóa đơn điện tử cho kế toán viên sẽ giảm 70% lỗi kê khai do nhập sai</t>
        </is>
      </c>
      <c r="E6" s="40" t="inlineStr">
        <is>
          <t>Lỗi lệch số tiền/MST phát hiện sau kê khai giảm ≥ 70% trên 10 văn phòng thử</t>
        </is>
      </c>
      <c r="F6" s="40" t="n">
        <v>4</v>
      </c>
      <c r="G6" s="40" t="n">
        <v>4</v>
      </c>
      <c r="H6" s="40" t="n">
        <v>0.5</v>
      </c>
      <c r="I6" s="40" t="n">
        <v>4</v>
      </c>
      <c r="J6" s="40" t="n">
        <v>0.5</v>
      </c>
      <c r="K6" s="40" t="n">
        <v>0.4</v>
      </c>
      <c r="L6" s="40" t="n">
        <v>0.7</v>
      </c>
      <c r="M6" s="44">
        <f>IF(COUNT(F6:L6)&lt;7,"",ROUND(F6*G6*H6/I6*(0.5+0.5*AVERAGE(J6:K6))*(1-0.5*L6),2))</f>
        <v/>
      </c>
      <c r="N6" s="44">
        <f>IF(M6="","",RANK(M6,$M$5:$M$14))</f>
        <v/>
      </c>
      <c r="O6" s="45">
        <f>IF(B6="","",IF(OR(D6="",E6=""),"Thiếu",IF(SUMPRODUCT(--ISNUMBER(SEARCH({"0","1","2","3","4","5","6","7","8","9"},E6)))&gt;0,"Có","Thiếu")))</f>
        <v/>
      </c>
      <c r="P6" s="46" t="inlineStr">
        <is>
          <t>Chờ</t>
        </is>
      </c>
      <c r="Q6" s="46" t="inlineStr">
        <is>
          <t>Hạng 6. Chờ: cần quyền truy cập dữ liệu cổng thuế; phần mềm kế toán và nền tảng hóa đơn điện tử đã có tính năng tương tự (rủi ro bị nuốt 0,7). Xem lại ở ngày 90</t>
        </is>
      </c>
    </row>
    <row r="7" ht="23.25" customHeight="1" s="33">
      <c r="A7" s="43" t="n">
        <v>3</v>
      </c>
      <c r="B7" s="40" t="inlineStr">
        <is>
          <t>Gợi ý định khoản (tài khoản nợ/có) cho từng hóa đơn</t>
        </is>
      </c>
      <c r="C7" s="40" t="inlineStr">
        <is>
          <t>Kế toán viên chỉ duyệt, không tự chọn tài khoản</t>
        </is>
      </c>
      <c r="D7" s="40" t="inlineStr">
        <is>
          <t>Ta tin rằng gợi ý định khoản dựa trên lịch sử của từng khách sẽ giúp kế toán viên giảm 30% thời gian hạch toán</t>
        </is>
      </c>
      <c r="E7" s="40" t="inlineStr">
        <is>
          <t>Gợi ý được chấp nhận không sửa ≥ 80% trên 500 hóa đơn; thời gian hạch toán giảm ≥ 30%</t>
        </is>
      </c>
      <c r="F7" s="40" t="n">
        <v>4</v>
      </c>
      <c r="G7" s="40" t="n">
        <v>4</v>
      </c>
      <c r="H7" s="40" t="n">
        <v>0.5</v>
      </c>
      <c r="I7" s="40" t="n">
        <v>3</v>
      </c>
      <c r="J7" s="40" t="n">
        <v>0.6</v>
      </c>
      <c r="K7" s="40" t="n">
        <v>0.4</v>
      </c>
      <c r="L7" s="40" t="n">
        <v>0.3</v>
      </c>
      <c r="M7" s="44">
        <f>IF(COUNT(F7:L7)&lt;7,"",ROUND(F7*G7*H7/I7*(0.5+0.5*AVERAGE(J7:K7))*(1-0.5*L7),2))</f>
        <v/>
      </c>
      <c r="N7" s="44">
        <f>IF(M7="","",RANK(M7,$M$5:$M$14))</f>
        <v/>
      </c>
      <c r="O7" s="45">
        <f>IF(B7="","",IF(OR(D7="",E7=""),"Thiếu",IF(SUMPRODUCT(--ISNUMBER(SEARCH({"0","1","2","3","4","5","6","7","8","9"},E7)))&gt;0,"Có","Thiếu")))</f>
        <v/>
      </c>
      <c r="P7" s="46" t="inlineStr">
        <is>
          <t>Tự làm</t>
        </is>
      </c>
      <c r="Q7" s="46" t="inlineStr">
        <is>
          <t>Hạng 5, để tầng Tiếp theo: cần Mức 1 ổn định và đủ lịch sử định khoản của từng khách</t>
        </is>
      </c>
    </row>
    <row r="8" ht="23.25" customHeight="1" s="33">
      <c r="A8" s="43" t="n">
        <v>4</v>
      </c>
      <c r="B8" s="40" t="inlineStr">
        <is>
          <t>Phát hiện hóa đơn trùng, MST ngừng hoạt động, sai thuế suất</t>
        </is>
      </c>
      <c r="C8" s="40" t="inlineStr">
        <is>
          <t>Chặn hóa đơn rủi ro trước khi nhập sổ</t>
        </is>
      </c>
      <c r="D8" s="40" t="inlineStr">
        <is>
          <t>Ta tin rằng cảnh báo hóa đơn trùng/sai cho kế toán viên sẽ giúp phát hiện ≥ 90% hóa đơn lỗi trước khi nhập sổ</t>
        </is>
      </c>
      <c r="E8" s="40" t="inlineStr">
        <is>
          <t>Bắt được ≥ 90% hóa đơn lỗi cài sẵn trong 200 ca; báo nhầm &lt; 5%</t>
        </is>
      </c>
      <c r="F8" s="40" t="n">
        <v>4</v>
      </c>
      <c r="G8" s="40" t="n">
        <v>3</v>
      </c>
      <c r="H8" s="40" t="n">
        <v>0.8</v>
      </c>
      <c r="I8" s="40" t="n">
        <v>2</v>
      </c>
      <c r="J8" s="40" t="n">
        <v>0.7</v>
      </c>
      <c r="K8" s="40" t="n">
        <v>0.6</v>
      </c>
      <c r="L8" s="40" t="n">
        <v>0.5</v>
      </c>
      <c r="M8" s="44">
        <f>IF(COUNT(F8:L8)&lt;7,"",ROUND(F8*G8*H8/I8*(0.5+0.5*AVERAGE(J8:K8))*(1-0.5*L8),2))</f>
        <v/>
      </c>
      <c r="N8" s="44">
        <f>IF(M8="","",RANK(M8,$M$5:$M$14))</f>
        <v/>
      </c>
      <c r="O8" s="45">
        <f>IF(B8="","",IF(OR(D8="",E8=""),"Thiếu",IF(SUMPRODUCT(--ISNUMBER(SEARCH({"0","1","2","3","4","5","6","7","8","9"},E8)))&gt;0,"Có","Thiếu")))</f>
        <v/>
      </c>
      <c r="P8" s="46" t="inlineStr">
        <is>
          <t>Tự làm</t>
        </is>
      </c>
      <c r="Q8" s="46" t="inlineStr">
        <is>
          <t>Hạng 4: công sức thấp, dùng luật đơn giản trên dữ liệu đã trích ở việc 1; đi kèm việc 1 làm lớp kiểm tra an toàn</t>
        </is>
      </c>
    </row>
    <row r="9" ht="23.25" customHeight="1" s="33">
      <c r="A9" s="43" t="n">
        <v>5</v>
      </c>
      <c r="B9" s="40" t="inlineStr">
        <is>
          <t>Xuất file nhập thẳng vào phần mềm kế toán đang dùng</t>
        </is>
      </c>
      <c r="C9" s="40" t="inlineStr">
        <is>
          <t>Không phải gõ lại sau khi AI đọc</t>
        </is>
      </c>
      <c r="D9" s="40" t="inlineStr">
        <is>
          <t>Ta tin rằng xuất đúng định dạng nhập của phần mềm kế toán cho văn phòng sẽ giúp ≥ 90% hóa đơn đã đọc vào sổ không cần gõ lại</t>
        </is>
      </c>
      <c r="E9" s="40" t="inlineStr">
        <is>
          <t>≥ 90% hóa đơn nhập thành công không lỗi định dạng trên 10 văn phòng thử</t>
        </is>
      </c>
      <c r="F9" s="40" t="n">
        <v>5</v>
      </c>
      <c r="G9" s="40" t="n">
        <v>3</v>
      </c>
      <c r="H9" s="40" t="n">
        <v>1</v>
      </c>
      <c r="I9" s="40" t="n">
        <v>2</v>
      </c>
      <c r="J9" s="40" t="n">
        <v>0.9</v>
      </c>
      <c r="K9" s="40" t="n">
        <v>0.8</v>
      </c>
      <c r="L9" s="40" t="n">
        <v>0.5</v>
      </c>
      <c r="M9" s="44">
        <f>IF(COUNT(F9:L9)&lt;7,"",ROUND(F9*G9*H9/I9*(0.5+0.5*AVERAGE(J9:K9))*(1-0.5*L9),2))</f>
        <v/>
      </c>
      <c r="N9" s="44">
        <f>IF(M9="","",RANK(M9,$M$5:$M$14))</f>
        <v/>
      </c>
      <c r="O9" s="45">
        <f>IF(B9="","",IF(OR(D9="",E9=""),"Thiếu",IF(SUMPRODUCT(--ISNUMBER(SEARCH({"0","1","2","3","4","5","6","7","8","9"},E9)))&gt;0,"Có","Thiếu")))</f>
        <v/>
      </c>
      <c r="P9" s="46" t="inlineStr">
        <is>
          <t>Tự làm</t>
        </is>
      </c>
      <c r="Q9" s="46" t="inlineStr">
        <is>
          <t>Hạng 2: công sức thấp, tự tin cao; làm cùng việc 1 vì không có file nhập vào sổ thì không giảm được giờ nhập</t>
        </is>
      </c>
    </row>
    <row r="10" ht="23.25" customHeight="1" s="33">
      <c r="A10" s="43" t="n">
        <v>6</v>
      </c>
      <c r="B10" s="40" t="inlineStr">
        <is>
          <t>Trợ lý hỏi đáp thuế, kế toán chung</t>
        </is>
      </c>
      <c r="C10" s="40" t="inlineStr">
        <is>
          <t>Kế toán viên tra cứu nhanh</t>
        </is>
      </c>
      <c r="D10" s="40" t="inlineStr">
        <is>
          <t>Ta tin rằng trợ lý trả lời câu hỏi thuế chung sẽ giúp kế toán viên tiết kiệm thời gian tra cứu</t>
        </is>
      </c>
      <c r="E10" s="40" t="inlineStr">
        <is>
          <t>Điểm hài lòng ≥ 4/5 trên 100 câu hỏi</t>
        </is>
      </c>
      <c r="F10" s="40" t="n">
        <v>3</v>
      </c>
      <c r="G10" s="40" t="n">
        <v>2</v>
      </c>
      <c r="H10" s="40" t="n">
        <v>0.5</v>
      </c>
      <c r="I10" s="40" t="n">
        <v>3</v>
      </c>
      <c r="J10" s="40" t="n">
        <v>0.4</v>
      </c>
      <c r="K10" s="40" t="n">
        <v>0.2</v>
      </c>
      <c r="L10" s="40" t="n">
        <v>0.9</v>
      </c>
      <c r="M10" s="44">
        <f>IF(COUNT(F10:L10)&lt;7,"",ROUND(F10*G10*H10/I10*(0.5+0.5*AVERAGE(J10:K10))*(1-0.5*L10),2))</f>
        <v/>
      </c>
      <c r="N10" s="44">
        <f>IF(M10="","",RANK(M10,$M$5:$M$14))</f>
        <v/>
      </c>
      <c r="O10" s="45">
        <f>IF(B10="","",IF(OR(D10="",E10=""),"Thiếu",IF(SUMPRODUCT(--ISNUMBER(SEARCH({"0","1","2","3","4","5","6","7","8","9"},E10)))&gt;0,"Có","Thiếu")))</f>
        <v/>
      </c>
      <c r="P10" s="46" t="inlineStr">
        <is>
          <t>Không làm</t>
        </is>
      </c>
      <c r="Q10" s="46" t="inlineStr">
        <is>
          <t>Hạng 7. Không làm: mô hình miễn phí đã làm được (rủi ro bị nuốt 0,9), trả lời sai về thuế gây hại, không gắn với '1 việc' là hóa đơn</t>
        </is>
      </c>
    </row>
    <row r="11" ht="15" customHeight="1" s="33">
      <c r="A11" s="43" t="n">
        <v>7</v>
      </c>
      <c r="B11" s="40" t="inlineStr">
        <is>
          <t>Kiểm chứng gói giá với 30% văn phòng dùng nhiều</t>
        </is>
      </c>
      <c r="C11" s="40" t="inlineStr">
        <is>
          <t>Biết văn phòng dùng nhiều có giữ mức trả hiện tại không</t>
        </is>
      </c>
      <c r="D11" s="40" t="inlineStr">
        <is>
          <t>Ta tin rằng văn phòng dùng nhiều (65% doanh thu) vẫn trả đủ khi tính theo số hóa đơn, giữ doanh thu bình quân ≥ 3,71 triệu/văn phòng</t>
        </is>
      </c>
      <c r="E11" s="40" t="inlineStr">
        <is>
          <t>Doanh thu bình quân ≥ 3,71 triệu/văn phòng/tháng trên ≥ 10 văn phòng; ≥ 70% văn phòng dùng nhiều gia hạn</t>
        </is>
      </c>
      <c r="F11" s="40" t="n">
        <v>3</v>
      </c>
      <c r="G11" s="40" t="n">
        <v>5</v>
      </c>
      <c r="H11" s="40" t="n">
        <v>0.5</v>
      </c>
      <c r="I11" s="40" t="n">
        <v>1</v>
      </c>
      <c r="J11" s="40" t="n">
        <v>0.9</v>
      </c>
      <c r="K11" s="40" t="n">
        <v>0.8</v>
      </c>
      <c r="L11" s="40" t="n">
        <v>0.1</v>
      </c>
      <c r="M11" s="44">
        <f>IF(COUNT(F11:L11)&lt;7,"",ROUND(F11*G11*H11/I11*(0.5+0.5*AVERAGE(J11:K11))*(1-0.5*L11),2))</f>
        <v/>
      </c>
      <c r="N11" s="44">
        <f>IF(M11="","",RANK(M11,$M$5:$M$14))</f>
        <v/>
      </c>
      <c r="O11" s="45">
        <f>IF(B11="","",IF(OR(D11="",E11=""),"Thiếu",IF(SUMPRODUCT(--ISNUMBER(SEARCH({"0","1","2","3","4","5","6","7","8","9"},E11)))&gt;0,"Có","Thiếu")))</f>
        <v/>
      </c>
      <c r="P11" s="46" t="inlineStr">
        <is>
          <t>Tự làm</t>
        </is>
      </c>
      <c r="Q11" s="46" t="inlineStr">
        <is>
          <t>Hạng 1. Thêm việc: kiểm chứng biến nguy hiểm nhất của đề (65% doanh thu từ 30% văn phòng dùng nhiều). Không cần xây thêm tính năng</t>
        </is>
      </c>
    </row>
    <row r="12" ht="15" customHeight="1" s="33">
      <c r="A12" s="43" t="n">
        <v>8</v>
      </c>
      <c r="B12" s="40" t="n"/>
      <c r="C12" s="40" t="n"/>
      <c r="D12" s="40" t="n"/>
      <c r="E12" s="40" t="n"/>
      <c r="F12" s="40" t="n"/>
      <c r="G12" s="40" t="n"/>
      <c r="H12" s="40" t="n"/>
      <c r="I12" s="40" t="n"/>
      <c r="J12" s="40" t="n"/>
      <c r="K12" s="40" t="n"/>
      <c r="L12" s="40" t="n"/>
      <c r="M12" s="44">
        <f>IF(COUNT(F12:L12)&lt;7,"",ROUND(F12*G12*H12/I12*(0.5+0.5*AVERAGE(J12:K12))*(1-0.5*L12),2))</f>
        <v/>
      </c>
      <c r="N12" s="44">
        <f>IF(M12="","",RANK(M12,$M$5:$M$14))</f>
        <v/>
      </c>
      <c r="O12" s="45">
        <f>IF(B12="","",IF(OR(D12="",E12=""),"Thiếu",IF(SUMPRODUCT(--ISNUMBER(SEARCH({"0","1","2","3","4","5","6","7","8","9"},E12)))&gt;0,"Có","Thiếu")))</f>
        <v/>
      </c>
      <c r="P12" s="46" t="n"/>
      <c r="Q12" s="46" t="n"/>
    </row>
    <row r="13" ht="15" customHeight="1" s="33">
      <c r="A13" s="43" t="n">
        <v>9</v>
      </c>
      <c r="B13" s="40" t="n"/>
      <c r="C13" s="40" t="n"/>
      <c r="D13" s="40" t="n"/>
      <c r="E13" s="40" t="n"/>
      <c r="F13" s="40" t="n"/>
      <c r="G13" s="40" t="n"/>
      <c r="H13" s="40" t="n"/>
      <c r="I13" s="40" t="n"/>
      <c r="J13" s="40" t="n"/>
      <c r="K13" s="40" t="n"/>
      <c r="L13" s="40" t="n"/>
      <c r="M13" s="44">
        <f>IF(COUNT(F13:L13)&lt;7,"",ROUND(F13*G13*H13/I13*(0.5+0.5*AVERAGE(J13:K13))*(1-0.5*L13),2))</f>
        <v/>
      </c>
      <c r="N13" s="44">
        <f>IF(M13="","",RANK(M13,$M$5:$M$14))</f>
        <v/>
      </c>
      <c r="O13" s="45">
        <f>IF(B13="","",IF(OR(D13="",E13=""),"Thiếu",IF(SUMPRODUCT(--ISNUMBER(SEARCH({"0","1","2","3","4","5","6","7","8","9"},E13)))&gt;0,"Có","Thiếu")))</f>
        <v/>
      </c>
      <c r="P13" s="46" t="n"/>
      <c r="Q13" s="46" t="n"/>
    </row>
    <row r="14" ht="15" customHeight="1" s="33">
      <c r="A14" s="43" t="n">
        <v>10</v>
      </c>
      <c r="B14" s="40" t="n"/>
      <c r="C14" s="40" t="n"/>
      <c r="D14" s="40" t="n"/>
      <c r="E14" s="40" t="n"/>
      <c r="F14" s="40" t="n"/>
      <c r="G14" s="40" t="n"/>
      <c r="H14" s="40" t="n"/>
      <c r="I14" s="40" t="n"/>
      <c r="J14" s="40" t="n"/>
      <c r="K14" s="40" t="n"/>
      <c r="L14" s="40" t="n"/>
      <c r="M14" s="44">
        <f>IF(COUNT(F14:L14)&lt;7,"",ROUND(F14*G14*H14/I14*(0.5+0.5*AVERAGE(J14:K14))*(1-0.5*L14),2))</f>
        <v/>
      </c>
      <c r="N14" s="44">
        <f>IF(M14="","",RANK(M14,$M$5:$M$14))</f>
        <v/>
      </c>
      <c r="O14" s="45">
        <f>IF(B14="","",IF(OR(D14="",E14=""),"Thiếu",IF(SUMPRODUCT(--ISNUMBER(SEARCH({"0","1","2","3","4","5","6","7","8","9"},E14)))&gt;0,"Có","Thiếu")))</f>
        <v/>
      </c>
      <c r="P14" s="46" t="n"/>
      <c r="Q14" s="46" t="n"/>
    </row>
  </sheetData>
  <sheetProtection selectLockedCells="0" selectUnlockedCells="0" sheet="1" objects="0" insertRows="1" insertHyperlinks="1" autoFilter="1" scenarios="0" formatColumns="0" deleteColumns="1" insertColumns="1" pivotTables="1" deleteRows="1" formatCells="1" formatRows="0" sort="1"/>
  <dataValidations count="4">
    <dataValidation sqref="F5:G14 I5:I14" showDropDown="0" showInputMessage="0" showErrorMessage="1" allowBlank="1" errorTitle="Ngoài thang điểm" error="Nhập số nguyên từ 1 đến 5." type="whole" errorStyle="stop" operator="between">
      <formula1>1</formula1>
      <formula2>5</formula2>
    </dataValidation>
    <dataValidation sqref="H5:H14" showDropDown="0" showInputMessage="0" showErrorMessage="1" allowBlank="1" errorTitle="Mức tự tin" error="Dùng 0,5 (đoán), 0,8 (có dấu hiệu) hoặc 1 (có số liệu)." type="decimal" errorStyle="stop" operator="between">
      <formula1>0.5</formula1>
      <formula2>1</formula2>
    </dataValidation>
    <dataValidation sqref="J5:L14" showDropDown="0" showInputMessage="0" showErrorMessage="1" allowBlank="1" errorTitle="Ngoài thang 0–1" error="Nhập số từ 0 đến 1, ví dụ 0,6." type="decimal" errorStyle="stop" operator="between">
      <formula1>0</formula1>
      <formula2>1</formula2>
    </dataValidation>
    <dataValidation sqref="P5:P14" showDropDown="0" showInputMessage="0" showErrorMessage="0" allowBlank="1" type="list" errorStyle="stop" operator="between">
      <formula1>"Tự làm,Mua,Chờ,Không làm"</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32" min="1" max="1"/>
    <col width="20" customWidth="1" style="32" min="2" max="2"/>
    <col width="34" customWidth="1" style="32" min="3" max="3"/>
    <col width="30" customWidth="1" style="32" min="4" max="4"/>
    <col width="44" customWidth="1" style="32" min="5" max="5"/>
    <col width="36" customWidth="1" style="32" min="6" max="6"/>
    <col width="12" customWidth="1" style="32" min="7" max="8"/>
    <col width="18" customWidth="1" style="32" min="9" max="9"/>
    <col width="14" customWidth="1" style="32" min="10" max="10"/>
    <col width="12" customWidth="1" style="32" min="11" max="11"/>
    <col width="13" customWidth="1" style="32" min="12" max="12"/>
    <col width="11" customWidth="1" style="32" min="13" max="13"/>
  </cols>
  <sheetData>
    <row r="1" ht="17.25" customHeight="1" s="33">
      <c r="A1" s="34" t="inlineStr">
        <is>
          <t>2 · Lộ trình tăng dần mức tự động và cổng đánh giá</t>
        </is>
      </c>
    </row>
    <row r="2" ht="15" customHeight="1" s="33">
      <c r="A2" s="35" t="inlineStr">
        <is>
          <t>Mỗi lần lên mức phải qua một cổng đánh giá bằng con số. Chưa qua cổng thì chưa lên mức, dù đã đến ngày. Mức tự động quyết định chi phí mỗi việc: xem cột H–L.</t>
        </is>
      </c>
    </row>
    <row r="4" ht="26.25" customHeight="1" s="33">
      <c r="A4" s="42" t="inlineStr">
        <is>
          <t>Mức</t>
        </is>
      </c>
      <c r="B4" s="42" t="inlineStr">
        <is>
          <t>Tên mức</t>
        </is>
      </c>
      <c r="C4" s="42" t="inlineStr">
        <is>
          <t>AI làm gì</t>
        </is>
      </c>
      <c r="D4" s="42" t="inlineStr">
        <is>
          <t>Người làm gì</t>
        </is>
      </c>
      <c r="E4" s="42" t="inlineStr">
        <is>
          <t>Cổng đánh giá để lên mức này (chỉ số + ngưỡng + cỡ mẫu)</t>
        </is>
      </c>
      <c r="F4" s="42" t="inlineStr">
        <is>
          <t>Dữ liệu / hạ tầng / tuân thủ cần có</t>
        </is>
      </c>
      <c r="G4" s="42" t="inlineStr">
        <is>
          <t>Dự kiến (kế hoạch nội bộ, không phải cam kết)</t>
        </is>
      </c>
      <c r="H4" s="42" t="inlineStr">
        <is>
          <t>% việc có người duyệt</t>
        </is>
      </c>
      <c r="I4" s="42" t="inlineStr">
        <is>
          <t>Ai duyệt</t>
        </is>
      </c>
      <c r="J4" s="42" t="inlineStr">
        <is>
          <t>Chi phí mỗi việc (đ)</t>
        </is>
      </c>
      <c r="K4" s="42" t="inlineStr">
        <is>
          <t>Biên lợi nhuận gộp</t>
        </is>
      </c>
      <c r="L4" s="42" t="inlineStr">
        <is>
          <t>Biên ≥ 60%?</t>
        </is>
      </c>
      <c r="M4" s="42" t="inlineStr">
        <is>
          <t>Cổng có con số?</t>
        </is>
      </c>
    </row>
    <row r="5" ht="48" customHeight="1" s="33">
      <c r="A5" s="43" t="n">
        <v>0</v>
      </c>
      <c r="B5" s="40" t="inlineStr">
        <is>
          <t>Gợi ý</t>
        </is>
      </c>
      <c r="C5" s="40" t="inlineStr">
        <is>
          <t>AI đọc hóa đơn, điền sẵn các trường</t>
        </is>
      </c>
      <c r="D5" s="40" t="inlineStr">
        <is>
          <t>Kế toán viên của công ty đối chiếu 100% với ảnh gốc, sửa rồi gửi</t>
        </is>
      </c>
      <c r="E5" s="40" t="inlineStr">
        <is>
          <t>— (mức khởi đầu)</t>
        </is>
      </c>
      <c r="F5" s="40" t="inlineStr">
        <is>
          <t>Thu ảnh/PDF hóa đơn; lưu ảnh gốc để tra lại; báo khách biết dữ liệu do AI đọc (Luật AI 134/2025/QH15); thỏa thuận xử lý dữ liệu với văn phòng</t>
        </is>
      </c>
      <c r="G5" s="40" t="inlineStr">
        <is>
          <t>T1–T2</t>
        </is>
      </c>
      <c r="H5" s="47" t="n">
        <v>1</v>
      </c>
      <c r="I5" s="46" t="inlineStr">
        <is>
          <t>Người của mình</t>
        </is>
      </c>
      <c r="J5" s="48">
        <f>IF(H5="","",$B$12+$B$13+IF(I5="Người của mình",H5*$B$14*$B$15/60,0))</f>
        <v/>
      </c>
      <c r="K5" s="49">
        <f>IF(J5="","",IFERROR(($B$16-$B$17*J5)/$B$16,""))</f>
        <v/>
      </c>
      <c r="L5" s="50">
        <f>IF(K5="","",IF(K5&gt;=0.6,"Đạt","Dưới ngưỡng"))</f>
        <v/>
      </c>
    </row>
    <row r="6" ht="48" customHeight="1" s="33">
      <c r="A6" s="43" t="n">
        <v>1</v>
      </c>
      <c r="B6" s="40" t="inlineStr">
        <is>
          <t>Hỗ trợ có duyệt</t>
        </is>
      </c>
      <c r="C6" s="40" t="inlineStr">
        <is>
          <t>AI tự nhập hóa đơn rõ, độ tin cậy cao; hóa đơn khó vào hàng chờ duyệt</t>
        </is>
      </c>
      <c r="D6" s="40" t="inlineStr">
        <is>
          <t>Duyệt mẫu ngẫu nhiên + mọi hóa đơn AI không chắc (khoảng 20%)</t>
        </is>
      </c>
      <c r="E6" s="40" t="inlineStr">
        <is>
          <t>Đúng ≥ 98% trường số tiền và MST trên ≥ 300 hóa đơn thật (bộ đề có nhãn); sai số tiền &gt; 1% = 0 ca; kế toán trưởng xác nhận</t>
        </is>
      </c>
      <c r="F6" s="40" t="inlineStr">
        <is>
          <t>Bộ đề 300 hóa đơn có nhãn (đủ ảnh mờ, viết tay, nhiều trang); nhật ký sửa; bảng giám sát độ chính xác theo trường</t>
        </is>
      </c>
      <c r="G6" s="40" t="inlineStr">
        <is>
          <t>T3–T4</t>
        </is>
      </c>
      <c r="H6" s="47" t="n">
        <v>0.2</v>
      </c>
      <c r="I6" s="46" t="inlineStr">
        <is>
          <t>Người của mình</t>
        </is>
      </c>
      <c r="J6" s="48">
        <f>IF(H6="","",$B$12+$B$13+IF(I6="Người của mình",H6*$B$14*$B$15/60,0))</f>
        <v/>
      </c>
      <c r="K6" s="49">
        <f>IF(J6="","",IFERROR(($B$16-$B$17*J6)/$B$16,""))</f>
        <v/>
      </c>
      <c r="L6" s="50">
        <f>IF(K6="","",IF(K6&gt;=0.6,"Đạt","Dưới ngưỡng"))</f>
        <v/>
      </c>
      <c r="M6" s="50">
        <f>IF(E6="","",IF(SUMPRODUCT(--ISNUMBER(SEARCH({"0","1","2","3","4","5","6","7","8","9"},E6)))&gt;0,"Có","Thiếu"))</f>
        <v/>
      </c>
    </row>
    <row r="7" ht="48" customHeight="1" s="33">
      <c r="A7" s="43" t="n">
        <v>2</v>
      </c>
      <c r="B7" s="40" t="inlineStr">
        <is>
          <t>Tự động một phần</t>
        </is>
      </c>
      <c r="C7" s="40" t="inlineStr">
        <is>
          <t>AI tự nhập và xuất file vào phần mềm kế toán; tự chuyển người khi độ tin cậy thấp</t>
        </is>
      </c>
      <c r="D7" s="40" t="inlineStr">
        <is>
          <t>Xử lý ca chuyển lên; kiểm tra ngẫu nhiên khoảng 10%</t>
        </is>
      </c>
      <c r="E7" s="40" t="inlineStr">
        <is>
          <t>Tỷ lệ sửa của người duyệt &lt; 5% trên ≥ 1.000 hóa đơn thực tế của ≥ 10 văn phòng; bắt ≥ 90% hóa đơn lỗi cài sẵn; khiếu nại &lt; 1%; kế toán trưởng + quản lý sản phẩm xác nhận</t>
        </is>
      </c>
      <c r="F7" s="40" t="inlineStr">
        <is>
          <t>Mở rộng bộ đề 1.000 hóa đơn; tích hợp xuất file phần mềm kế toán; quy trình xử lý khiếu nại</t>
        </is>
      </c>
      <c r="G7" s="40" t="inlineStr">
        <is>
          <t>T5–T7</t>
        </is>
      </c>
      <c r="H7" s="47" t="n">
        <v>0.1</v>
      </c>
      <c r="I7" s="46" t="inlineStr">
        <is>
          <t>Người của mình</t>
        </is>
      </c>
      <c r="J7" s="48">
        <f>IF(H7="","",$B$12+$B$13+IF(I7="Người của mình",H7*$B$14*$B$15/60,0))</f>
        <v/>
      </c>
      <c r="K7" s="49">
        <f>IF(J7="","",IFERROR(($B$16-$B$17*J7)/$B$16,""))</f>
        <v/>
      </c>
      <c r="L7" s="50">
        <f>IF(K7="","",IF(K7&gt;=0.6,"Đạt","Dưới ngưỡng"))</f>
        <v/>
      </c>
      <c r="M7" s="50">
        <f>IF(E7="","",IF(SUMPRODUCT(--ISNUMBER(SEARCH({"0","1","2","3","4","5","6","7","8","9"},E7)))&gt;0,"Có","Thiếu"))</f>
        <v/>
      </c>
    </row>
    <row r="8" ht="48" customHeight="1" s="33">
      <c r="A8" s="43" t="n">
        <v>3</v>
      </c>
      <c r="B8" s="40" t="inlineStr">
        <is>
          <t>Tự động có giám sát</t>
        </is>
      </c>
      <c r="C8" s="40" t="inlineStr">
        <is>
          <t>AI tự nhập, đối chiếu và gợi ý định khoản</t>
        </is>
      </c>
      <c r="D8" s="40" t="inlineStr">
        <is>
          <t>Theo dõi bảng giám sát; kiểm tra mẫu 5% và ngoại lệ</t>
        </is>
      </c>
      <c r="E8" s="40" t="inlineStr">
        <is>
          <t>Lỗi phát hiện sau kê khai ≤ 0,5% trên ≥ 3.000 hóa đơn trong 2 tháng liên tục; không có lỗi số tiền lớn; ban lãnh đạo duyệt</t>
        </is>
      </c>
      <c r="F8" s="40" t="inlineStr">
        <is>
          <t>Truy cập dữ liệu hóa đơn điện tử; lưu vết đầy đủ; rà soát mức rủi ro theo Luật AI</t>
        </is>
      </c>
      <c r="G8" s="40" t="inlineStr">
        <is>
          <t>T8+</t>
        </is>
      </c>
      <c r="H8" s="47" t="n">
        <v>0.05</v>
      </c>
      <c r="I8" s="46" t="inlineStr">
        <is>
          <t>Người của mình</t>
        </is>
      </c>
      <c r="J8" s="48">
        <f>IF(H8="","",$B$12+$B$13+IF(I8="Người của mình",H8*$B$14*$B$15/60,0))</f>
        <v/>
      </c>
      <c r="K8" s="49">
        <f>IF(J8="","",IFERROR(($B$16-$B$17*J8)/$B$16,""))</f>
        <v/>
      </c>
      <c r="L8" s="50">
        <f>IF(K8="","",IF(K8&gt;=0.6,"Đạt","Dưới ngưỡng"))</f>
        <v/>
      </c>
      <c r="M8" s="50">
        <f>IF(E8="","",IF(SUMPRODUCT(--ISNUMBER(SEARCH({"0","1","2","3","4","5","6","7","8","9"},E8)))&gt;0,"Có","Thiếu"))</f>
        <v/>
      </c>
    </row>
    <row r="11" ht="15" customHeight="1" s="33">
      <c r="A11" s="41" t="inlineStr">
        <is>
          <t>SỐ LIỆU KINH TẾ CỦA ĐỀ (đã điền sẵn từ hồ sơ tình huống; sửa được nếu nhóm có lý do)</t>
        </is>
      </c>
    </row>
    <row r="12" ht="15" customHeight="1" s="33">
      <c r="A12" s="51" t="inlineStr">
        <is>
          <t>Chi phí gọi AI / việc (đã tính gọi lại)</t>
        </is>
      </c>
      <c r="B12" s="52" t="n">
        <v>254</v>
      </c>
      <c r="C12" s="53" t="inlineStr">
        <is>
          <t>Hồ sơ, bảng Số liệu kinh tế, dòng 1</t>
        </is>
      </c>
    </row>
    <row r="13" ht="15" customHeight="1" s="33">
      <c r="A13" s="51" t="inlineStr">
        <is>
          <t>Hạ tầng + đánh giá + khác / việc</t>
        </is>
      </c>
      <c r="B13" s="52" t="n">
        <v>200</v>
      </c>
      <c r="C13" s="53" t="inlineStr">
        <is>
          <t>dòng 2</t>
        </is>
      </c>
    </row>
    <row r="14" ht="15" customHeight="1" s="33">
      <c r="A14" s="51" t="inlineStr">
        <is>
          <t>Số phút người duyệt / việc</t>
        </is>
      </c>
      <c r="B14" s="54" t="n">
        <v>1.5</v>
      </c>
      <c r="C14" s="53" t="inlineStr">
        <is>
          <t>dòng 3</t>
        </is>
      </c>
    </row>
    <row r="15" ht="15" customHeight="1" s="33">
      <c r="A15" s="51" t="inlineStr">
        <is>
          <t>Chi phí 1 giờ người duyệt (đ)</t>
        </is>
      </c>
      <c r="B15" s="52" t="n">
        <v>50000</v>
      </c>
      <c r="C15" s="53" t="inlineStr">
        <is>
          <t>dòng 4</t>
        </is>
      </c>
    </row>
    <row r="16" ht="15" customHeight="1" s="33">
      <c r="A16" s="51" t="inlineStr">
        <is>
          <t>Doanh thu bình quân / khách / tháng (đ)</t>
        </is>
      </c>
      <c r="B16" s="52" t="n">
        <v>3970000</v>
      </c>
      <c r="C16" s="53" t="inlineStr">
        <is>
          <t>dòng 5</t>
        </is>
      </c>
    </row>
    <row r="17" ht="15" customHeight="1" s="33">
      <c r="A17" s="51" t="inlineStr">
        <is>
          <t>Số việc bình quân / khách / tháng</t>
        </is>
      </c>
      <c r="B17" s="52" t="n">
        <v>1760</v>
      </c>
      <c r="C17" s="53" t="inlineStr">
        <is>
          <t>dòng 6</t>
        </is>
      </c>
    </row>
    <row r="18" ht="15" customHeight="1" s="33">
      <c r="A18" s="51" t="inlineStr">
        <is>
          <t>Biến nguy hiểm nhất</t>
        </is>
      </c>
      <c r="B18" s="46" t="inlineStr">
        <is>
          <t>Doanh thu bình quân (65% doanh thu đến từ 30% văn phòng dùng nhiều)</t>
        </is>
      </c>
      <c r="C18" s="53" t="inlineStr">
        <is>
          <t>dòng 7</t>
        </is>
      </c>
    </row>
    <row r="19" ht="15" customHeight="1" s="33">
      <c r="A19" s="51" t="inlineStr">
        <is>
          <t>Điều kiện dừng đã chọn (theo đề)</t>
        </is>
      </c>
      <c r="B19" s="46" t="inlineStr">
        <is>
          <t>NẾU doanh thu bình quân dưới 3,71 triệu/văn phòng trong 2 tháng liên tiếp, trên ít nhất 10 văn phòng, THÌ dừng mở rộng</t>
        </is>
      </c>
      <c r="C19" s="53" t="inlineStr">
        <is>
          <t>dòng 8</t>
        </is>
      </c>
    </row>
    <row r="20" ht="15" customHeight="1" s="33">
      <c r="A20" s="51" t="inlineStr">
        <is>
          <t>Kịch bản xấu hết tiền ở tháng</t>
        </is>
      </c>
      <c r="B20" s="55" t="n">
        <v>7</v>
      </c>
      <c r="C20" s="53" t="inlineStr">
        <is>
          <t>dòng 9</t>
        </is>
      </c>
    </row>
    <row r="22" ht="15" customHeight="1" s="33">
      <c r="A22" s="53" t="inlineStr">
        <is>
          <t>Ghi chú: người duyệt của mình là kế toán viên của công ty. Gợi ý của đề: Mức 1 duyệt khoảng 20%; Mức 2 khoảng 10%.</t>
        </is>
      </c>
    </row>
    <row r="23" ht="15" customHeight="1" s="33">
      <c r="A23" s="53" t="n"/>
    </row>
  </sheetData>
  <sheetProtection selectLockedCells="0" selectUnlockedCells="0" sheet="1" objects="0" insertRows="1" insertHyperlinks="1" autoFilter="1" scenarios="0" formatColumns="0" deleteColumns="1" insertColumns="1" pivotTables="1" deleteRows="1" formatCells="1" formatRows="0" sort="1"/>
  <dataValidations count="2">
    <dataValidation sqref="I5:I8" showDropDown="0" showInputMessage="0" showErrorMessage="0" allowBlank="1" type="list" errorStyle="stop" operator="between">
      <formula1>"Người của mình,Nhân viên cửa hàng"</formula1>
      <formula2>0</formula2>
    </dataValidation>
    <dataValidation sqref="H5:H8" showDropDown="0" showInputMessage="0" showErrorMessage="0" allowBlank="1" type="decimal" errorStyle="stop" operator="between">
      <formula1>0</formula1>
      <formula2>1</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42" customWidth="1" style="32" min="2" max="4"/>
  </cols>
  <sheetData>
    <row r="1" ht="17.25" customHeight="1" s="33">
      <c r="A1" s="34" t="inlineStr">
        <is>
          <t>3 · Bảng lộ trình theo giả thuyết: Bây giờ / Tiếp theo / Sau này</t>
        </is>
      </c>
    </row>
    <row r="2" ht="15" customHeight="1" s="33">
      <c r="A2" s="35" t="inlineStr">
        <is>
          <t>Bây giờ = cam kết (0–3 tháng) · Tiếp theo = định hướng (3–6 tháng) · Sau này = khám phá (6–12 tháng). Càng xa càng ít chi tiết.</t>
        </is>
      </c>
    </row>
    <row r="4" ht="15" customHeight="1" s="33">
      <c r="A4" s="42" t="inlineStr">
        <is>
          <t>Dòng</t>
        </is>
      </c>
      <c r="B4" s="42" t="inlineStr">
        <is>
          <t>Bây giờ (0–3 tháng)</t>
        </is>
      </c>
      <c r="C4" s="42" t="inlineStr">
        <is>
          <t>Tiếp theo (3–6 tháng)</t>
        </is>
      </c>
      <c r="D4" s="42" t="inlineStr">
        <is>
          <t>Sau này (6–12 tháng)</t>
        </is>
      </c>
    </row>
    <row r="5" ht="48" customHeight="1" s="33">
      <c r="A5" s="56" t="inlineStr">
        <is>
          <t>Việc chính (lấy từ trang 1)</t>
        </is>
      </c>
      <c r="B5" s="40" t="inlineStr">
        <is>
          <t>Đọc hóa đơn ảnh/PDF (việc 1) + xuất file vào phần mềm kế toán (việc 5) + cảnh báo hóa đơn lỗi (việc 4) + kiểm chứng gói giá với văn phòng dùng nhiều (việc 7)</t>
        </is>
      </c>
      <c r="C5" s="40" t="inlineStr">
        <is>
          <t>Tự động một phần (Mức 2) + gợi ý định khoản (việc 3)</t>
        </is>
      </c>
      <c r="D5" s="40" t="inlineStr">
        <is>
          <t>Đối chiếu với hóa đơn điện tử (việc 2, nếu chưa bị nuốt); thử Mức 3</t>
        </is>
      </c>
    </row>
    <row r="6" ht="48" customHeight="1" s="33">
      <c r="A6" s="56" t="inlineStr">
        <is>
          <t>Giả thuyết</t>
        </is>
      </c>
      <c r="B6" s="40" t="inlineStr">
        <is>
          <t>Ta tin rằng đọc tự động hóa đơn ảnh cho kế toán viên sẽ giảm 50% giờ nhập liệu, và văn phòng dùng nhiều vẫn trả đủ để doanh thu bình quân ≥ 3,71 triệu</t>
        </is>
      </c>
      <c r="C6" s="40" t="inlineStr">
        <is>
          <t>Có người duyệt ở Mức 1 → văn phòng tin dùng → giảm duyệt còn 10%</t>
        </is>
      </c>
      <c r="D6" s="40" t="inlineStr">
        <is>
          <t>Đối chiếu tự động giảm lỗi kê khai</t>
        </is>
      </c>
    </row>
    <row r="7" ht="48" customHeight="1" s="33">
      <c r="A7" s="56" t="inlineStr">
        <is>
          <t>Chỉ số thành công và ngưỡng</t>
        </is>
      </c>
      <c r="B7" s="40" t="inlineStr">
        <is>
          <t>Giờ nhập/100 hóa đơn giảm ≥ 50%; đúng ≥ 98% trường số tiền, MST; doanh thu bình quân ≥ 3,71 triệu/văn phòng</t>
        </is>
      </c>
      <c r="C7" s="40" t="inlineStr">
        <is>
          <t>Tỷ lệ sửa &lt; 5%; gợi ý định khoản được chấp nhận ≥ 80%</t>
        </is>
      </c>
      <c r="D7" s="40" t="inlineStr">
        <is>
          <t>Lỗi phát hiện sau kê khai giảm ≥ 70%</t>
        </is>
      </c>
    </row>
    <row r="8" ht="48" customHeight="1" s="33">
      <c r="A8" s="56" t="inlineStr">
        <is>
          <t>Mức tự động (trang 2)</t>
        </is>
      </c>
      <c r="B8" s="40" t="inlineStr">
        <is>
          <t>Mức 0 → Mức 1 (duyệt 20%)</t>
        </is>
      </c>
      <c r="C8" s="40" t="inlineStr">
        <is>
          <t>Mức 2 (duyệt 10%)</t>
        </is>
      </c>
      <c r="D8" s="40" t="inlineStr">
        <is>
          <t>Thử Mức 3 (duyệt 5%)</t>
        </is>
      </c>
    </row>
    <row r="9" ht="48" customHeight="1" s="33">
      <c r="A9" s="56" t="inlineStr">
        <is>
          <t>Cổng đánh giá</t>
        </is>
      </c>
      <c r="B9" s="40" t="inlineStr">
        <is>
          <t>Lên Mức 1: đúng ≥ 98% số tiền và MST trên ≥ 300 hóa đơn thật; 0 ca sai số tiền &gt; 1%; kế toán trưởng xác nhận</t>
        </is>
      </c>
      <c r="C9" s="40" t="inlineStr">
        <is>
          <t>Sửa &lt; 5% trên ≥ 1.000 hóa đơn của ≥ 10 văn phòng; khiếu nại &lt; 1%</t>
        </is>
      </c>
      <c r="D9" s="40" t="inlineStr">
        <is>
          <t>Lỗi sau kê khai ≤ 0,5% trên ≥ 3.000 hóa đơn trong 2 tháng</t>
        </is>
      </c>
    </row>
    <row r="10" ht="48" customHeight="1" s="33">
      <c r="A10" s="56" t="inlineStr">
        <is>
          <t>Điều kiện cần: dữ liệu / hạ tầng / tuân thủ</t>
        </is>
      </c>
      <c r="B10" s="40" t="inlineStr">
        <is>
          <t>Bộ đề 300 hóa đơn có nhãn (ảnh mờ, viết tay, nhiều trang); lưu ảnh gốc; báo khách dữ liệu do AI đọc theo Luật AI 134/2025/QH15; thỏa thuận xử lý dữ liệu; giờ kế toán trưởng gắn nhãn theo hồ sơ</t>
        </is>
      </c>
      <c r="C10" s="40" t="inlineStr">
        <is>
          <t>Bộ đề 1.000 hóa đơn; lịch sử định khoản từng khách; tích hợp phần mềm kế toán</t>
        </is>
      </c>
      <c r="D10" s="40" t="inlineStr">
        <is>
          <t>Quyền truy cập dữ liệu hóa đơn điện tử; lưu vết; rà soát Luật AI</t>
        </is>
      </c>
    </row>
    <row r="11" ht="48" customHeight="1" s="33">
      <c r="A11" s="56" t="inlineStr">
        <is>
          <t>Căn cứ kinh tế (số liệu của đề và trang 2)</t>
        </is>
      </c>
      <c r="B11" s="40" t="inlineStr">
        <is>
          <t>Doanh thu 2.256 đ/hóa đơn (3,97 triệu ÷ 1.760). Mức 0 chi phí 1.704 đ → biên 24%; Mức 1 chi phí 704 đ → biên 69%. Kịch bản xấu hết tiền tháng 7 → rút ngắn Mức 0, thử 10–15 văn phòng</t>
        </is>
      </c>
      <c r="C11" s="40" t="inlineStr">
        <is>
          <t>Mức 2 chi phí 579 đ → biên 74%; mở rộng khi doanh thu bình quân ≥ 3,71 triệu</t>
        </is>
      </c>
      <c r="D11" s="40" t="inlineStr">
        <is>
          <t>Chỉ làm nếu tầng Tiếp theo giữ biên ≥ 60%</t>
        </is>
      </c>
    </row>
    <row r="12" ht="48" customHeight="1" s="33">
      <c r="A12" s="56" t="inlineStr">
        <is>
          <t>Điều kiện dừng / đổi hướng</t>
        </is>
      </c>
      <c r="B12" s="40" t="inlineStr">
        <is>
          <t>Nếu doanh thu bình quân &lt; 3,71 triệu/văn phòng trong 2 tháng liên tiếp trên ≥ 10 văn phòng, hoặc giờ nhập giảm &lt; 30% ở ngày 60 → dừng mở rộng, thiết kế lại gói giá</t>
        </is>
      </c>
      <c r="C12" s="40" t="inlineStr">
        <is>
          <t>Khiếu nại &gt; 2% hoặc sai số tiền tăng → lùi về Mức 1</t>
        </is>
      </c>
      <c r="D12" s="40" t="inlineStr">
        <is>
          <t>Phần mềm kế toán/cổng thuế ra tính năng đọc hóa đơn miễn phí → bỏ đọc chung, tập trung hóa đơn khó và định khoản</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40" customWidth="1" style="32" min="2" max="3"/>
    <col width="28" customWidth="1" style="32" min="4" max="4"/>
  </cols>
  <sheetData>
    <row r="1" ht="17.25" customHeight="1" s="33">
      <c r="A1" s="34" t="inlineStr">
        <is>
          <t>4 · Lịch rà soát lộ trình</t>
        </is>
      </c>
    </row>
    <row r="2" ht="15" customHeight="1" s="33">
      <c r="A2" s="35" t="inlineStr">
        <is>
          <t>Rà soát theo lịch VÀ mỗi khi có sự kiện. Ở mốc 30/60/90 chọn 1 trong 4: đi tiếp, sửa, đổi hướng, dừng.</t>
        </is>
      </c>
    </row>
    <row r="4" ht="15" customHeight="1" s="33">
      <c r="A4" s="42" t="inlineStr">
        <is>
          <t>Mốc / sự kiện</t>
        </is>
      </c>
      <c r="B4" s="42" t="inlineStr">
        <is>
          <t>Nhìn vào chỉ số nào</t>
        </is>
      </c>
      <c r="C4" s="42" t="inlineStr">
        <is>
          <t>Quyết định có thể đưa ra</t>
        </is>
      </c>
      <c r="D4" s="42" t="inlineStr">
        <is>
          <t>Ai quyết</t>
        </is>
      </c>
    </row>
    <row r="5" ht="15" customHeight="1" s="33">
      <c r="A5" s="40" t="inlineStr">
        <is>
          <t>Ngày 30</t>
        </is>
      </c>
      <c r="B5" s="40" t="inlineStr">
        <is>
          <t>Giờ nhập/100 hóa đơn; tỷ lệ trường AI đọc đúng; số văn phòng đang dùng</t>
        </is>
      </c>
      <c r="C5" s="40" t="inlineStr">
        <is>
          <t>Đi tiếp / Sửa (cách chụp ảnh, mẫu hóa đơn khó)</t>
        </is>
      </c>
      <c r="D5" s="40" t="inlineStr">
        <is>
          <t>Quản lý sản phẩm + kế toán trưởng</t>
        </is>
      </c>
    </row>
    <row r="6" ht="15" customHeight="1" s="33">
      <c r="A6" s="40" t="inlineStr">
        <is>
          <t>Ngày 60</t>
        </is>
      </c>
      <c r="B6" s="40" t="inlineStr">
        <is>
          <t>Cổng Mức 0 → 1: đúng ≥ 98% số tiền, MST trên 300 hóa đơn; giờ nhập giảm ≥ 30%; chi phí mỗi hóa đơn thực tế</t>
        </is>
      </c>
      <c r="C6" s="40" t="inlineStr">
        <is>
          <t>Đi tiếp (lên Mức 1) / Sửa (giữ Mức 0)</t>
        </is>
      </c>
      <c r="D6" s="40" t="inlineStr">
        <is>
          <t>Quản lý sản phẩm + trưởng nhóm kỹ thuật + kế toán trưởng</t>
        </is>
      </c>
    </row>
    <row r="7" ht="15" customHeight="1" s="33">
      <c r="A7" s="40" t="inlineStr">
        <is>
          <t>Ngày 90</t>
        </is>
      </c>
      <c r="B7" s="40" t="inlineStr">
        <is>
          <t>Doanh thu bình quân so với 3,71 triệu (2 tháng, ≥ 10 văn phòng); giờ nhập giảm ≥ 50%; tỷ lệ văn phòng dùng nhiều gia hạn</t>
        </is>
      </c>
      <c r="C7" s="40" t="inlineStr">
        <is>
          <t>Đi tiếp (mở rộng) / Đổi hướng (gói giá) / Dừng</t>
        </is>
      </c>
      <c r="D7" s="40" t="inlineStr">
        <is>
          <t>Ban lãnh đạo</t>
        </is>
      </c>
    </row>
    <row r="8" ht="15" customHeight="1" s="33">
      <c r="A8" s="40" t="inlineStr">
        <is>
          <t>Có mô hình mới / giá gọi AI giảm mạnh</t>
        </is>
      </c>
      <c r="B8" s="40" t="inlineStr">
        <is>
          <t>Chạy lại bộ đề 300 hóa đơn; tính lại chi phí gọi AI (hiện 254 đ/hóa đơn)</t>
        </is>
      </c>
      <c r="C8" s="40" t="inlineStr">
        <is>
          <t>Đổi mô hình? Hạ giá? Lên Mức 2 sớm hơn?</t>
        </is>
      </c>
      <c r="D8" s="40" t="inlineStr">
        <is>
          <t>Quản lý sản phẩm + trưởng nhóm kỹ thuật</t>
        </is>
      </c>
    </row>
    <row r="9" ht="15" customHeight="1" s="33">
      <c r="A9" s="40" t="inlineStr">
        <is>
          <t>Nền tảng hoặc đối thủ ra tính năng tương tự</t>
        </is>
      </c>
      <c r="B9" s="40" t="inlineStr">
        <is>
          <t>Việc nào bị 'nuốt' (đọc hóa đơn, đối chiếu cổng thuế)</t>
        </is>
      </c>
      <c r="C9" s="40" t="inlineStr">
        <is>
          <t>Bỏ việc bị nuốt, dồn lực vào hóa đơn khó và định khoản</t>
        </is>
      </c>
      <c r="D9" s="40" t="inlineStr">
        <is>
          <t>Ban lãnh đạo</t>
        </is>
      </c>
    </row>
    <row r="10" ht="15" customHeight="1" s="33">
      <c r="A10" s="40" t="inlineStr">
        <is>
          <t>Quy định pháp lý thay đổi</t>
        </is>
      </c>
      <c r="B10" s="40" t="inlineStr">
        <is>
          <t>Mức rủi ro theo Luật AI 134/2025/QH15; quy định hóa đơn điện tử, bảo vệ dữ liệu cá nhân</t>
        </is>
      </c>
      <c r="C10" s="40" t="inlineStr">
        <is>
          <t>Thêm kiểm soát, nghĩa vụ thông báo, lưu vết</t>
        </is>
      </c>
      <c r="D10" s="40" t="inlineStr">
        <is>
          <t>Quản lý sản phẩm + pháp chế</t>
        </is>
      </c>
    </row>
    <row r="12" ht="15" customHeight="1" s="33">
      <c r="A12" s="53" t="inlineStr">
        <is>
          <t>Ngày 90 chưa đo được giá trị vòng đời thật: khách mới dùng 3 tháng. Chỉ dùng chỉ số đã có đủ dữ liệu.</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32" min="1" max="1"/>
    <col width="90" customWidth="1" style="32" min="2" max="2"/>
    <col width="8" customWidth="1" style="32" min="3" max="3"/>
    <col width="12" customWidth="1" style="32" min="4" max="4"/>
  </cols>
  <sheetData>
    <row r="1" ht="17.25" customHeight="1" s="33">
      <c r="A1" s="34" t="inlineStr">
        <is>
          <t>5 · Lộ trình 1 slide cho lãnh đạo</t>
        </is>
      </c>
    </row>
    <row r="2" ht="15" customHeight="1" s="33">
      <c r="A2" s="35" t="inlineStr">
        <is>
          <t>Kết luận trước. Không quá 60 chữ mỗi ô (cột C tự đếm).</t>
        </is>
      </c>
    </row>
    <row r="3" ht="15" customHeight="1" s="33">
      <c r="C3" s="57" t="inlineStr">
        <is>
          <t>Số chữ</t>
        </is>
      </c>
      <c r="D3" s="57" t="inlineStr">
        <is>
          <t>Đạt?</t>
        </is>
      </c>
    </row>
    <row r="4" ht="33.75" customHeight="1" s="33">
      <c r="A4" s="57" t="inlineStr">
        <is>
          <t>Kết luận (1 câu)</t>
        </is>
      </c>
      <c r="B4" s="40" t="inlineStr">
        <is>
          <t>Thử 3 tháng với 10–15 văn phòng: AI đọc hóa đơn ảnh giảm ≥ 50% giờ nhập, đúng ≥ 98% số tiền; ngày 90 quyết định mở rộng theo doanh thu ≥ 3,71 triệu/văn phòng.</t>
        </is>
      </c>
      <c r="C4" s="58">
        <f>IF(TRIM(B4)="",0,LEN(TRIM(B4))-LEN(SUBSTITUTE(TRIM(B4)," ",""))+1)</f>
        <v/>
      </c>
      <c r="D4" s="50">
        <f>IF(C4=0,"Trống",IF(C4&gt;60,"Quá 60 chữ","Đạt"))</f>
        <v/>
      </c>
    </row>
    <row r="5" ht="33.75" customHeight="1" s="33">
      <c r="A5" s="57" t="inlineStr">
        <is>
          <t>3 việc chính</t>
        </is>
      </c>
      <c r="B5" s="40" t="inlineStr">
        <is>
          <t>Bây giờ: đọc hóa đơn + xuất file phần mềm kế toán + cảnh báo lỗi + kiểm chứng gói giá · Tiếp theo: Mức 2, gợi ý định khoản · Sau này: đối chiếu hóa đơn điện tử</t>
        </is>
      </c>
      <c r="C5" s="58">
        <f>IF(TRIM(B5)="",0,LEN(TRIM(B5))-LEN(SUBSTITUTE(TRIM(B5)," ",""))+1)</f>
        <v/>
      </c>
      <c r="D5" s="50">
        <f>IF(C5=0,"Trống",IF(C5&gt;60,"Quá 60 chữ","Đạt"))</f>
        <v/>
      </c>
    </row>
    <row r="6" ht="33.75" customHeight="1" s="33">
      <c r="A6" s="57" t="inlineStr">
        <is>
          <t>Cần gì (người, tiền, dữ liệu)</t>
        </is>
      </c>
      <c r="B6" s="40" t="inlineStr">
        <is>
          <t>Kế toán viên duyệt 100% rồi 20%; giờ kế toán trưởng gắn nhãn 300 hóa đơn; ảnh hóa đơn thật của 10–15 văn phòng; thỏa thuận xử lý dữ liệu</t>
        </is>
      </c>
      <c r="C6" s="58">
        <f>IF(TRIM(B6)="",0,LEN(TRIM(B6))-LEN(SUBSTITUTE(TRIM(B6)," ",""))+1)</f>
        <v/>
      </c>
      <c r="D6" s="50">
        <f>IF(C6=0,"Trống",IF(C6&gt;60,"Quá 60 chữ","Đạt"))</f>
        <v/>
      </c>
    </row>
    <row r="7" ht="33.75" customHeight="1" s="33">
      <c r="A7" s="57" t="inlineStr">
        <is>
          <t>Rủi ro lớn nhất &amp; cách xử lý</t>
        </is>
      </c>
      <c r="B7" s="40" t="inlineStr">
        <is>
          <t>Doanh thu phụ thuộc 30% văn phòng dùng nhiều (65%) → kiểm chứng gói giá ngay; Mức 0 biên 24% → lên Mức 1 (biên 69%) sớm khi qua cổng</t>
        </is>
      </c>
      <c r="C7" s="58">
        <f>IF(TRIM(B7)="",0,LEN(TRIM(B7))-LEN(SUBSTITUTE(TRIM(B7)," ",""))+1)</f>
        <v/>
      </c>
      <c r="D7" s="50">
        <f>IF(C7=0,"Trống",IF(C7&gt;60,"Quá 60 chữ","Đạt"))</f>
        <v/>
      </c>
    </row>
    <row r="8" ht="33.75" customHeight="1" s="33">
      <c r="A8" s="57" t="inlineStr">
        <is>
          <t>Khi nào xem lại</t>
        </is>
      </c>
      <c r="B8" s="40" t="inlineStr">
        <is>
          <t>Ngày 30/60/90; khi có mô hình mới, phần mềm kế toán ra tính năng tương tự hoặc Luật AI đổi</t>
        </is>
      </c>
      <c r="C8" s="58">
        <f>IF(TRIM(B8)="",0,LEN(TRIM(B8))-LEN(SUBSTITUTE(TRIM(B8)," ",""))+1)</f>
        <v/>
      </c>
      <c r="D8" s="50">
        <f>IF(C8=0,"Trống",IF(C8&gt;60,"Quá 60 chữ","Đạt"))</f>
        <v/>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C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6" customWidth="1" style="32" min="1" max="1"/>
    <col width="14" customWidth="1" style="32" min="2" max="3"/>
  </cols>
  <sheetData>
    <row r="1" ht="17.25" customHeight="1" s="33">
      <c r="A1" s="34" t="inlineStr">
        <is>
          <t>6 · Tự kiểm tra</t>
        </is>
      </c>
    </row>
    <row r="2" ht="15" customHeight="1" s="33">
      <c r="A2" s="35" t="inlineStr">
        <is>
          <t>Chưa 'Đạt' thì quay lại sửa trước khi nộp file.</t>
        </is>
      </c>
    </row>
    <row r="4" ht="15" customHeight="1" s="33">
      <c r="A4" s="42" t="inlineStr">
        <is>
          <t>Điểm kiểm tra</t>
        </is>
      </c>
      <c r="B4" s="42" t="inlineStr">
        <is>
          <t>Kết quả</t>
        </is>
      </c>
      <c r="C4" s="42" t="inlineStr">
        <is>
          <t>Đạt?</t>
        </is>
      </c>
    </row>
    <row r="5" ht="15" customHeight="1" s="33">
      <c r="A5" s="43" t="inlineStr">
        <is>
          <t>Số việc đã chấm điểm (cần ≥ 5)</t>
        </is>
      </c>
      <c r="B5" s="44">
        <f>COUNT('1_Danh sách việc'!M5:M14)</f>
        <v/>
      </c>
      <c r="C5" s="44">
        <f>IF(B5&gt;=5,"Đạt","Xem lại")</f>
        <v/>
      </c>
    </row>
    <row r="6" ht="15" customHeight="1" s="33">
      <c r="A6" s="43" t="inlineStr">
        <is>
          <t>Việc được giữ lại mà thiếu giả thuyết hoặc chỉ số có con số (cần = 0)</t>
        </is>
      </c>
      <c r="B6" s="44">
        <f>COUNTIFS('1_Danh sách việc'!O5:O14,"Thiếu",'1_Danh sách việc'!P5:P14,"&lt;&gt;Không làm")</f>
        <v/>
      </c>
      <c r="C6" s="44">
        <f>IF(B5=0,"",IF(B6=0,"Đạt","Xem lại"))</f>
        <v/>
      </c>
    </row>
    <row r="7" ht="15" customHeight="1" s="33">
      <c r="A7" s="43" t="inlineStr">
        <is>
          <t>Số mức tự động có cổng đánh giá kèm con số (cần ≥ 2, không tính Mức 0)</t>
        </is>
      </c>
      <c r="B7" s="44">
        <f>COUNTIF('2_Mức tự động'!M6:M8,"Có")</f>
        <v/>
      </c>
      <c r="C7" s="44">
        <f>IF(B7&gt;=2,"Đạt","Xem lại")</f>
        <v/>
      </c>
    </row>
    <row r="8" ht="15" customHeight="1" s="33">
      <c r="A8" s="43" t="inlineStr">
        <is>
          <t>Bảng lộ trình: số ô tầng 'Bây giờ' đã điền (cần 8/8)</t>
        </is>
      </c>
      <c r="B8" s="44">
        <f>COUNTA('3_Bảng lộ trình'!B5:B12)</f>
        <v/>
      </c>
      <c r="C8" s="44">
        <f>IF(B8=8,"Đạt","Xem lại")</f>
        <v/>
      </c>
    </row>
    <row r="9" ht="15" customHeight="1" s="33">
      <c r="A9" s="43" t="inlineStr">
        <is>
          <t>Điều kiện dừng tầng 'Bây giờ' có con số</t>
        </is>
      </c>
      <c r="B9" s="44">
        <f>IF(AND(LEN('3_Bảng lộ trình'!B12)&gt;10,SUMPRODUCT(--ISNUMBER(SEARCH({"0","1","2","3","4","5","6","7","8","9"},'3_Bảng lộ trình'!B12)))&gt;0),"Có","Chưa")</f>
        <v/>
      </c>
      <c r="C9" s="44">
        <f>IF(B9="Có","Đạt","Xem lại")</f>
        <v/>
      </c>
    </row>
    <row r="10" ht="15" customHeight="1" s="33">
      <c r="A10" s="43" t="inlineStr">
        <is>
          <t>Căn cứ kinh tế có con số (từ số liệu của đề)</t>
        </is>
      </c>
      <c r="B10" s="44">
        <f>IF(AND(LEN('3_Bảng lộ trình'!B11)&gt;10,SUMPRODUCT(--ISNUMBER(SEARCH({"0","1","2","3","4","5","6","7","8","9"},'3_Bảng lộ trình'!B11)))&gt;0),"Có","Chưa")</f>
        <v/>
      </c>
      <c r="C10" s="44">
        <f>IF(B10="Có","Đạt","Xem lại")</f>
        <v/>
      </c>
    </row>
    <row r="11" ht="15" customHeight="1" s="33">
      <c r="A11" s="43" t="inlineStr">
        <is>
          <t>Slide lãnh đạo: số ô đạt (đủ chữ, không quá 60 chữ; cần 5)</t>
        </is>
      </c>
      <c r="B11" s="44">
        <f>COUNTIF('5_Slide lãnh đạo'!D4:D8,"Đạt")</f>
        <v/>
      </c>
      <c r="C11" s="44">
        <f>IF(B11=5,"Đạt","Xem lại")</f>
        <v/>
      </c>
    </row>
    <row r="12" ht="15" customHeight="1" s="33">
      <c r="A12" s="43" t="inlineStr">
        <is>
          <t>Số mức tự động có biên lợi nhuận ≥ 60% (cần ≥ 1)</t>
        </is>
      </c>
      <c r="B12" s="44">
        <f>COUNTIF('2_Mức tự động'!L5:L8,"Đạt")</f>
        <v/>
      </c>
      <c r="C12" s="44">
        <f>IF(B12&gt;=1,"Đạt","Xem lại")</f>
        <v/>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32" min="1" max="1"/>
    <col width="30" customWidth="1" style="32" min="2" max="2"/>
    <col width="80" customWidth="1" style="32" min="3" max="3"/>
    <col width="40" customWidth="1" style="32" min="4" max="4"/>
  </cols>
  <sheetData>
    <row r="1" ht="17.25" customHeight="1" s="33">
      <c r="A1" s="34" t="inlineStr">
        <is>
          <t>7 · Thang điểm sản phẩm (100 điểm)</t>
        </is>
      </c>
    </row>
    <row r="2" ht="15" customHeight="1" s="33">
      <c r="A2" s="35" t="n"/>
    </row>
    <row r="4" ht="15" customHeight="1" s="33">
      <c r="A4" s="42" t="inlineStr">
        <is>
          <t>Tiêu chí</t>
        </is>
      </c>
      <c r="B4" s="42" t="inlineStr">
        <is>
          <t>Điểm</t>
        </is>
      </c>
      <c r="C4" s="42" t="inlineStr">
        <is>
          <t>Bài đạt khi</t>
        </is>
      </c>
      <c r="D4" s="42" t="inlineStr">
        <is>
          <t>Điểm nhóm</t>
        </is>
      </c>
    </row>
    <row r="5" ht="15" customHeight="1" s="33">
      <c r="A5" s="43" t="inlineStr">
        <is>
          <t>Theo kết quả và giả thuyết</t>
        </is>
      </c>
      <c r="B5" s="32" t="n">
        <v>20</v>
      </c>
      <c r="C5" s="59" t="inlineStr">
        <is>
          <t>Mỗi việc có giả thuyết, chỉ số và ngưỡng, không chỉ là tên tính năng</t>
        </is>
      </c>
      <c r="D5" s="60" t="n"/>
    </row>
    <row r="6" ht="15" customHeight="1" s="33">
      <c r="A6" s="43" t="inlineStr">
        <is>
          <t>Ưu tiên có căn cứ</t>
        </is>
      </c>
      <c r="B6" s="32" t="n">
        <v>20</v>
      </c>
      <c r="C6" s="59" t="inlineStr">
        <is>
          <t>Bảng điểm ≥ 5 việc; có sẵn sàng dữ liệu, đánh giá và rủi ro bị nuốt; dùng số liệu kinh tế của đề; đổi thứ tự hoặc bỏ việc thì ghi lý do</t>
        </is>
      </c>
      <c r="D6" s="60" t="n"/>
    </row>
    <row r="7" ht="15" customHeight="1" s="33">
      <c r="A7" s="43" t="inlineStr">
        <is>
          <t>Mức tự động và cổng đánh giá</t>
        </is>
      </c>
      <c r="B7" s="32" t="n">
        <v>25</v>
      </c>
      <c r="C7" s="59" t="inlineStr">
        <is>
          <t>≥ 2 mức có cổng bằng con số (chỉ số, ngưỡng, cỡ mẫu); có vai trò của người; có chi phí mỗi việc theo mức</t>
        </is>
      </c>
      <c r="D7" s="60" t="n"/>
    </row>
    <row r="8" ht="15" customHeight="1" s="33">
      <c r="A8" s="43" t="inlineStr">
        <is>
          <t>Điều kiện cần và rủi ro</t>
        </is>
      </c>
      <c r="B8" s="32" t="n">
        <v>15</v>
      </c>
      <c r="C8" s="59" t="inlineStr">
        <is>
          <t>Nêu dữ liệu, hạ tầng, tuân thủ; điều kiện dừng đo được với quy mô thử nghiệm; có lịch rà soát</t>
        </is>
      </c>
      <c r="D8" s="60" t="n"/>
    </row>
    <row r="9" ht="15" customHeight="1" s="33">
      <c r="A9" s="43" t="inlineStr">
        <is>
          <t>Slide lãnh đạo</t>
        </is>
      </c>
      <c r="B9" s="32" t="n">
        <v>20</v>
      </c>
      <c r="C9" s="59" t="inlineStr">
        <is>
          <t>Kết luận trước, ≤ 60 chữ mỗi ô, trả lời được "cần gì" và "khi nào xem lại"</t>
        </is>
      </c>
      <c r="D9" s="60" t="n"/>
    </row>
    <row r="10" ht="15" customHeight="1" s="33">
      <c r="A10" s="41" t="inlineStr">
        <is>
          <t>TỔNG</t>
        </is>
      </c>
      <c r="B10" s="32">
        <f>SUM(B5:B9)</f>
        <v/>
      </c>
      <c r="D10" s="44">
        <f>SUM(D5:D9)</f>
        <v/>
      </c>
    </row>
    <row r="12" ht="15" customHeight="1" s="33">
      <c r="A12" s="41" t="n"/>
      <c r="D12" s="60" t="n"/>
    </row>
    <row r="15" ht="15" customHeight="1" s="33">
      <c r="A15" s="61" t="inlineStr">
        <is>
          <t>THANG ĐIỂM TRÌNH BÀY (1–5 điểm mỗi tiêu chí)</t>
        </is>
      </c>
    </row>
    <row r="16" ht="15" customHeight="1" s="33">
      <c r="A16" s="42" t="inlineStr">
        <is>
          <t>Tiêu chí</t>
        </is>
      </c>
      <c r="B16" s="42" t="inlineStr">
        <is>
          <t>Mức 1</t>
        </is>
      </c>
      <c r="C16" s="42" t="inlineStr">
        <is>
          <t>Mức 3</t>
        </is>
      </c>
      <c r="D16" s="42" t="inlineStr">
        <is>
          <t>Mức 5</t>
        </is>
      </c>
    </row>
    <row r="17" ht="45.75" customHeight="1" s="33">
      <c r="A17" s="62" t="inlineStr">
        <is>
          <t>Rõ ràng</t>
        </is>
      </c>
      <c r="B17" s="63" t="inlineStr">
        <is>
          <t>Câu đầu chưa có kết luận; người nghe phải đoán nhóm làm gì trước</t>
        </is>
      </c>
      <c r="C17" s="63" t="inlineStr">
        <is>
          <t>Có kết luận nhưng nói sau phần mở đầu, hoặc thiếu mốc quyết định</t>
        </is>
      </c>
      <c r="D17" s="63" t="inlineStr">
        <is>
          <t>Câu đầu có việc làm trước, mục tiêu bằng số và ngày quyết định</t>
        </is>
      </c>
    </row>
    <row r="18" ht="45.75" customHeight="1" s="33">
      <c r="A18" s="62" t="inlineStr">
        <is>
          <t>Bằng chứng</t>
        </is>
      </c>
      <c r="B18" s="63" t="inlineStr">
        <is>
          <t>Không có cổng đánh giá, hoặc số không có nguồn</t>
        </is>
      </c>
      <c r="C18" s="63" t="inlineStr">
        <is>
          <t>Có cổng nhưng thiếu cỡ mẫu hoặc căn cứ kinh tế</t>
        </is>
      </c>
      <c r="D18" s="63" t="inlineStr">
        <is>
          <t>Cổng đủ chỉ số, ngưỡng, cỡ mẫu; căn cứ kinh tế lấy từ số liệu của đề</t>
        </is>
      </c>
    </row>
    <row r="19" ht="45.75" customHeight="1" s="33">
      <c r="A19" s="62" t="inlineStr">
        <is>
          <t>Trả lời phản biện</t>
        </is>
      </c>
      <c r="B19" s="63" t="inlineStr">
        <is>
          <t>Né câu hỏi hoặc trả lời chung chung</t>
        </is>
      </c>
      <c r="C19" s="63" t="inlineStr">
        <is>
          <t>Trả lời đúng ý nhưng không dẫn số</t>
        </is>
      </c>
      <c r="D19" s="63" t="inlineStr">
        <is>
          <t>Trả lời thẳng, dẫn đúng con số trong file</t>
        </is>
      </c>
    </row>
    <row r="20" ht="45.75" customHeight="1" s="33">
      <c r="A20" s="62" t="inlineStr">
        <is>
          <t>Đúng giờ</t>
        </is>
      </c>
      <c r="B20" s="63" t="inlineStr">
        <is>
          <t>Quá 4 phút</t>
        </is>
      </c>
      <c r="C20" s="63" t="inlineStr">
        <is>
          <t>Từ 3 đến 4 phút</t>
        </is>
      </c>
      <c r="D20" s="63" t="inlineStr">
        <is>
          <t>Không quá 3 phút</t>
        </is>
      </c>
    </row>
    <row r="22" ht="15" customHeight="1" s="33">
      <c r="A22" s="53" t="inlineStr">
        <is>
          <t>Mức 2 và 4 dùng khi bài nằm giữa hai mô tả. Bản chuẩn của buổi học không có phần trình bày trên lớp: điểm buổi = thang sản phẩm 100 điểm ở trên. Thang trình bày chỉ dùng khi giảng viên tổ chức trình bày.</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2026-10-04T05:24:07Z</dcterms:created>
  <dcterms:modified xmlns:dcterms="http://purl.org/dc/terms/" xmlns:xsi="http://www.w3.org/2001/XMLSchema-instance" xsi:type="dcterms:W3CDTF">2026-10-16T10:05:01Z</dcterms:modified>
  <cp:revision>0</cp:revision>
</cp:coreProperties>
</file>