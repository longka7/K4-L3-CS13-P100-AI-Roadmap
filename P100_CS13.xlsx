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1 · SổSạch</t>
        </is>
      </c>
    </row>
    <row r="2" ht="15" customHeight="1" s="33">
      <c r="A2" s="35" t="inlineStr">
        <is>
          <t>AI in Action · Track 1 · Khóa 4. FILE LÀM BÀI CỦA NHÓM · Đề 1 · SổSạch.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1.</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1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254 + 200 đ/hóa đơn; duyệt 1,5 phút × 50.000 đ/giờ; doanh thu 3,97 triệu/1.760 hóa đơn = 2.256 đ/hóa đơn; hết tiền tháng 7</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hóa đơn được đọc, đối chiếu và nhập vào phần mềm kế toán. Văn phòng thử nghiệm: 40 doanh nghiệp, ~12.000 hóa đơn/tháng</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Đã chép đủ 6 việc vào trang 1; thêm việc 7 (kiểm chứng doanh thu bình quân)</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Bản 2 PHÁT HÀNH: đạt 97,3% (ngưỡng 95%), 0 lỗi nghiêm trọng, 0 tầng tụt, kappa 0,90. Bộ đề 40 hóa đơn: Thường 65%, Khó 25%, Nguy hiểm 7%, Ngoài phạm vi 3%</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Chị Hạnh (kế toán trưởng 15 năm) 3 giờ/tuần, sáng thứ Bảy; anh Tùng (trưởng nhóm nhập liệu 6 năm). 1 vòng chấm bộ đề 40 ca = 8,5 giờ</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Người duyệt = kế toán viên của công ty. Mức 1 ~20% (gắn cờ + mẫu 10%), Mức 2 ~10%. 'Sai MST hay sai tiền thì không được lần nào'</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Đọc ảnh hóa đơn giấy, ảnh chụp</t>
        </is>
      </c>
      <c r="C5" s="40" t="inlineStr">
        <is>
          <t>Giảm 50% giờ nhập hóa đơn ảnh</t>
        </is>
      </c>
      <c r="D5" s="40" t="inlineStr">
        <is>
          <t>Ta tin rằng dùng bản 2 đọc ảnh hóa đơn giấy cho kế toán viên của văn phòng dịch vụ sẽ giảm 50% giờ nhập hóa đơn ảnh mà không có lỗi MST hay số tiền</t>
        </is>
      </c>
      <c r="E5" s="40" t="inlineStr">
        <is>
          <t>Giờ nhập/100 hóa đơn ảnh giảm ≥ 50% so với nhập tay sau 30 ngày; 0 lỗi MST/tiền lọt vào sổ trên ≥ 3.000 hóa đơn ảnh</t>
        </is>
      </c>
      <c r="F5" s="40" t="n">
        <v>3</v>
      </c>
      <c r="G5" s="40" t="n">
        <v>5</v>
      </c>
      <c r="H5" s="40" t="n">
        <v>1</v>
      </c>
      <c r="I5" s="40" t="n">
        <v>2</v>
      </c>
      <c r="J5" s="40" t="n">
        <v>0.8</v>
      </c>
      <c r="K5" s="40" t="n">
        <v>0.9</v>
      </c>
      <c r="L5" s="40" t="n">
        <v>0.4</v>
      </c>
      <c r="M5" s="44">
        <f>IF(COUNT(F5:L5)&lt;7,"",ROUND(F5*G5*H5/I5*(0.5+0.5*AVERAGE(J5:K5))*(1-0.5*L5),2))</f>
        <v/>
      </c>
      <c r="N5" s="44">
        <f>IF(M5="","",RANK(M5,$M$5:$M$14))</f>
        <v/>
      </c>
      <c r="O5" s="45">
        <f>IF(B5="","",IF(OR(D5="",E5=""),"Thiếu",IF(SUMPRODUCT(--ISNUMBER(SEARCH({"0","1","2","3","4","5","6","7","8","9"},E5)))&gt;0,"Có","Thiếu")))</f>
        <v/>
      </c>
      <c r="P5" s="46" t="inlineStr">
        <is>
          <t>Tự làm</t>
        </is>
      </c>
      <c r="Q5" s="46" t="inlineStr">
        <is>
          <t>Hạng 4 nhưng làm ngay: bản 2 đã qua cổng phát hành (97,3%, 0 lỗi nghiêm trọng, kappa 0,90) nên mức tự tin 1, công sức thấp. Bị nuốt 0,4: OCR chung đọc được ảnh rõ nhưng khó với ảnh mờ, hóa đơn viết tay</t>
        </is>
      </c>
    </row>
    <row r="6" ht="23.25" customHeight="1" s="33">
      <c r="A6" s="43" t="n">
        <v>2</v>
      </c>
      <c r="B6" s="40" t="inlineStr">
        <is>
          <t>Gắn cờ hóa đơn cần người xem</t>
        </is>
      </c>
      <c r="C6" s="40" t="inlineStr">
        <is>
          <t>Kế toán chỉ xem khoảng 20% hóa đơn</t>
        </is>
      </c>
      <c r="D6" s="40" t="inlineStr">
        <is>
          <t>Ta tin rằng gắn cờ đúng các hóa đơn khó/nguy hiểm cho kế toán viên sẽ giúp họ chỉ phải xem ~20% hóa đơn mà vẫn không lọt lỗi MST hay tiền</t>
        </is>
      </c>
      <c r="E6" s="40" t="inlineStr">
        <is>
          <t>Tỷ lệ gắn cờ ≤ 20%, cờ thừa ≤ 10%; bắt 100% hóa đơn tầng Nguy hiểm trong bộ đề; 0 lỗi MST/tiền lọt qua trên ≥ 3.000 hóa đơn thật</t>
        </is>
      </c>
      <c r="F6" s="40" t="n">
        <v>5</v>
      </c>
      <c r="G6" s="40" t="n">
        <v>5</v>
      </c>
      <c r="H6" s="40" t="n">
        <v>0.8</v>
      </c>
      <c r="I6" s="40" t="n">
        <v>2</v>
      </c>
      <c r="J6" s="40" t="n">
        <v>0.7</v>
      </c>
      <c r="K6" s="40" t="n">
        <v>0.7</v>
      </c>
      <c r="L6" s="40" t="n">
        <v>0.2</v>
      </c>
      <c r="M6" s="44">
        <f>IF(COUNT(F6:L6)&lt;7,"",ROUND(F6*G6*H6/I6*(0.5+0.5*AVERAGE(J6:K6))*(1-0.5*L6),2))</f>
        <v/>
      </c>
      <c r="N6" s="44">
        <f>IF(M6="","",RANK(M6,$M$5:$M$14))</f>
        <v/>
      </c>
      <c r="O6" s="45">
        <f>IF(B6="","",IF(OR(D6="",E6=""),"Thiếu",IF(SUMPRODUCT(--ISNUMBER(SEARCH({"0","1","2","3","4","5","6","7","8","9"},E6)))&gt;0,"Có","Thiếu")))</f>
        <v/>
      </c>
      <c r="P6" s="46" t="inlineStr">
        <is>
          <t>Tự làm</t>
        </is>
      </c>
      <c r="Q6" s="46" t="inlineStr">
        <is>
          <t>Hạng 2, làm TRƯỚC cùng việc 4: đây là chìa khóa lên Mức 1 (duyệt 20%, biên 69%). Chị Hạnh: cờ thừa chấp nhận được nhưng không phải 1/2 số hóa đơn. Khó bị nuốt vì phải học theo luật và lỗi riêng của từng văn phòng</t>
        </is>
      </c>
    </row>
    <row r="7" ht="23.25" customHeight="1" s="33">
      <c r="A7" s="43" t="n">
        <v>3</v>
      </c>
      <c r="B7" s="40" t="inlineStr">
        <is>
          <t>Nhập tự động hóa đơn điện tử (tệp gốc)</t>
        </is>
      </c>
      <c r="C7" s="40" t="inlineStr">
        <is>
          <t>Giảm 70% thời gian nhập hóa đơn điện tử</t>
        </is>
      </c>
      <c r="D7" s="40" t="inlineStr">
        <is>
          <t>Ta tin rằng nhập thẳng tệp gốc hóa đơn điện tử cho kế toán viên sẽ giảm 70% thời gian nhập loại hóa đơn này</t>
        </is>
      </c>
      <c r="E7" s="40" t="inlineStr">
        <is>
          <t>Thời gian nhập/100 hóa đơn điện tử giảm ≥ 70%; ≥ 99% tệp gốc nhập không lỗi trên 1.000 hóa đơn</t>
        </is>
      </c>
      <c r="F7" s="40" t="n">
        <v>5</v>
      </c>
      <c r="G7" s="40" t="n">
        <v>4</v>
      </c>
      <c r="H7" s="40" t="n">
        <v>1</v>
      </c>
      <c r="I7" s="40" t="n">
        <v>2</v>
      </c>
      <c r="J7" s="40" t="n">
        <v>1</v>
      </c>
      <c r="K7" s="40" t="n">
        <v>0.8</v>
      </c>
      <c r="L7" s="40" t="n">
        <v>1</v>
      </c>
      <c r="M7" s="44">
        <f>IF(COUNT(F7:L7)&lt;7,"",ROUND(F7*G7*H7/I7*(0.5+0.5*AVERAGE(J7:K7))*(1-0.5*L7),2))</f>
        <v/>
      </c>
      <c r="N7" s="44">
        <f>IF(M7="","",RANK(M7,$M$5:$M$14))</f>
        <v/>
      </c>
      <c r="O7" s="45">
        <f>IF(B7="","",IF(OR(D7="",E7=""),"Thiếu",IF(SUMPRODUCT(--ISNUMBER(SEARCH({"0","1","2","3","4","5","6","7","8","9"},E7)))&gt;0,"Có","Thiếu")))</f>
        <v/>
      </c>
      <c r="P7" s="46" t="inlineStr">
        <is>
          <t>Mua</t>
        </is>
      </c>
      <c r="Q7" s="46" t="inlineStr">
        <is>
          <t>Hạng 5. Mua (dùng sẵn): phần mềm kế toán văn phòng đang dùng ĐÃ CÓ tính năng nhập hóa đơn điện tử từ tệp gốc → rủi ro bị nuốt 1. Chỉ nối luồng: hóa đơn điện tử đi qua đối chiếu MST + gắn cờ của mình rồi nhập bằng tính năng sẵn có</t>
        </is>
      </c>
    </row>
    <row r="8" ht="23.25" customHeight="1" s="33">
      <c r="A8" s="43" t="n">
        <v>4</v>
      </c>
      <c r="B8" s="40" t="inlineStr">
        <is>
          <t>Đối chiếu mã số thuế người bán</t>
        </is>
      </c>
      <c r="C8" s="40" t="inlineStr">
        <is>
          <t>Không nhập nhầm người bán</t>
        </is>
      </c>
      <c r="D8" s="40" t="inlineStr">
        <is>
          <t>Ta tin rằng tự đối chiếu MST người bán với dịch vụ tra cứu cho mọi hóa đơn sẽ giúp kế toán viên không nhập nhầm người bán lần nào</t>
        </is>
      </c>
      <c r="E8" s="40" t="inlineStr">
        <is>
          <t>0 hóa đơn nhầm/sai MST người bán lọt vào sổ trên ≥ 3.000 hóa đơn thật (quy tắc ba: lỗi thật &lt; 0,1%); 100% MST sai/ngừng hoạt động bị gắn cờ</t>
        </is>
      </c>
      <c r="F8" s="40" t="n">
        <v>5</v>
      </c>
      <c r="G8" s="40" t="n">
        <v>5</v>
      </c>
      <c r="H8" s="40" t="n">
        <v>1</v>
      </c>
      <c r="I8" s="40" t="n">
        <v>1</v>
      </c>
      <c r="J8" s="40" t="n">
        <v>1</v>
      </c>
      <c r="K8" s="40" t="n">
        <v>0.9</v>
      </c>
      <c r="L8" s="40" t="n">
        <v>0.7</v>
      </c>
      <c r="M8" s="44">
        <f>IF(COUNT(F8:L8)&lt;7,"",ROUND(F8*G8*H8/I8*(0.5+0.5*AVERAGE(J8:K8))*(1-0.5*L8),2))</f>
        <v/>
      </c>
      <c r="N8" s="44">
        <f>IF(M8="","",RANK(M8,$M$5:$M$14))</f>
        <v/>
      </c>
      <c r="O8" s="45">
        <f>IF(B8="","",IF(OR(D8="",E8=""),"Thiếu",IF(SUMPRODUCT(--ISNUMBER(SEARCH({"0","1","2","3","4","5","6","7","8","9"},E8)))&gt;0,"Có","Thiếu")))</f>
        <v/>
      </c>
      <c r="P8" s="46" t="inlineStr">
        <is>
          <t>Mua</t>
        </is>
      </c>
      <c r="Q8" s="46" t="inlineStr">
        <is>
          <t>Hạng 1. Mua: tích hợp dịch vụ tra cứu MST có sẵn, không tự xây. Làm TRƯỚC vì 'sai MST thì không được lần nào' (chị Hạnh) và công sức thấp nhất</t>
        </is>
      </c>
    </row>
    <row r="9" ht="23.25" customHeight="1" s="33">
      <c r="A9" s="43" t="n">
        <v>5</v>
      </c>
      <c r="B9" s="40" t="inlineStr">
        <is>
          <t>Gợi ý tài khoản hạch toán</t>
        </is>
      </c>
      <c r="C9" s="40" t="inlineStr">
        <is>
          <t>Giảm 30% thời gian hạch toán</t>
        </is>
      </c>
      <c r="D9" s="40" t="inlineStr">
        <is>
          <t>Ta tin rằng gợi ý tài khoản hạch toán theo lịch sử của từng doanh nghiệp cho kế toán viên sẽ giảm 30% thời gian hạch toán</t>
        </is>
      </c>
      <c r="E9" s="40" t="inlineStr">
        <is>
          <t>Thời gian hạch toán/100 hóa đơn giảm ≥ 30%; ≥ 80% gợi ý được chấp nhận không sửa trên 500 hóa đơn</t>
        </is>
      </c>
      <c r="F9" s="40" t="n">
        <v>4</v>
      </c>
      <c r="G9" s="40" t="n">
        <v>4</v>
      </c>
      <c r="H9" s="40" t="n">
        <v>0.5</v>
      </c>
      <c r="I9" s="40" t="n">
        <v>4</v>
      </c>
      <c r="J9" s="40" t="n">
        <v>0.1</v>
      </c>
      <c r="K9" s="40" t="n">
        <v>0.2</v>
      </c>
      <c r="L9" s="40" t="n">
        <v>0.4</v>
      </c>
      <c r="M9" s="44">
        <f>IF(COUNT(F9:L9)&lt;7,"",ROUND(F9*G9*H9/I9*(0.5+0.5*AVERAGE(J9:K9))*(1-0.5*L9),2))</f>
        <v/>
      </c>
      <c r="N9" s="44">
        <f>IF(M9="","",RANK(M9,$M$5:$M$14))</f>
        <v/>
      </c>
      <c r="O9" s="45">
        <f>IF(B9="","",IF(OR(D9="",E9=""),"Thiếu",IF(SUMPRODUCT(--ISNUMBER(SEARCH({"0","1","2","3","4","5","6","7","8","9"},E9)))&gt;0,"Có","Thiếu")))</f>
        <v/>
      </c>
      <c r="P9" s="46" t="inlineStr">
        <is>
          <t>Chờ</t>
        </is>
      </c>
      <c r="Q9" s="46" t="inlineStr">
        <is>
          <t>Hạng 6. Chờ: CHƯA có dữ liệu hạch toán của doanh nghiệp khách hàng (sẵn sàng dữ liệu 0,1) và chưa có bộ đề. Bắt đầu thu dữ liệu hạch toán từ tháng 1; xem lại ở ngày 90</t>
        </is>
      </c>
    </row>
    <row r="10" ht="23.25" customHeight="1" s="33">
      <c r="A10" s="43" t="n">
        <v>6</v>
      </c>
      <c r="B10" s="40" t="inlineStr">
        <is>
          <t>Trả lời câu hỏi thuế chung cho khách của văn phòng</t>
        </is>
      </c>
      <c r="C10" s="40" t="inlineStr">
        <is>
          <t>Bớt cuộc gọi hỏi đáp</t>
        </is>
      </c>
      <c r="D10" s="40" t="inlineStr">
        <is>
          <t>Ta tin rằng trả lời câu hỏi thuế chung cho khách của văn phòng sẽ giảm cuộc gọi hỏi đáp</t>
        </is>
      </c>
      <c r="E10" s="40" t="inlineStr">
        <is>
          <t>Số cuộc gọi hỏi đáp/tháng giảm ≥ 30%; ≥ 95% câu trả lời đúng trên 100 câu do chị Hạnh chấm</t>
        </is>
      </c>
      <c r="F10" s="40" t="n">
        <v>2</v>
      </c>
      <c r="G10" s="40" t="n">
        <v>2</v>
      </c>
      <c r="H10" s="40" t="n">
        <v>0.5</v>
      </c>
      <c r="I10" s="40" t="n">
        <v>3</v>
      </c>
      <c r="J10" s="40" t="n">
        <v>0.3</v>
      </c>
      <c r="K10" s="40" t="n">
        <v>0.1</v>
      </c>
      <c r="L10" s="40" t="n">
        <v>0.9</v>
      </c>
      <c r="M10" s="44">
        <f>IF(COUNT(F10:L10)&lt;7,"",ROUND(F10*G10*H10/I10*(0.5+0.5*AVERAGE(J10:K10))*(1-0.5*L10),2))</f>
        <v/>
      </c>
      <c r="N10" s="44">
        <f>IF(M10="","",RANK(M10,$M$5:$M$14))</f>
        <v/>
      </c>
      <c r="O10" s="45">
        <f>IF(B10="","",IF(OR(D10="",E10=""),"Thiếu",IF(SUMPRODUCT(--ISNUMBER(SEARCH({"0","1","2","3","4","5","6","7","8","9"},E10)))&gt;0,"Có","Thiếu")))</f>
        <v/>
      </c>
      <c r="P10" s="46" t="inlineStr">
        <is>
          <t>Không làm</t>
        </is>
      </c>
      <c r="Q10" s="46" t="inlineStr">
        <is>
          <t>Hạng 7. Không làm: mô hình miễn phí đã trả lời được (bị nuốt 0,9); trả lời sai về thuế gây rủi ro cho văn phòng; ngoài '1 việc' là hóa đơn; tốn giờ chuyên gia vốn chỉ 3 giờ/tuần</t>
        </is>
      </c>
    </row>
    <row r="11" ht="15" customHeight="1" s="33">
      <c r="A11" s="43" t="n">
        <v>7</v>
      </c>
      <c r="B11" s="40" t="inlineStr">
        <is>
          <t>Kiểm chứng doanh thu với 30% văn phòng dùng nhiều</t>
        </is>
      </c>
      <c r="C11" s="40" t="inlineStr">
        <is>
          <t>Biết doanh thu bình quân có giữ ≥ 3,71 triệu/văn phòng</t>
        </is>
      </c>
      <c r="D11" s="40" t="inlineStr">
        <is>
          <t>Ta tin rằng 30% văn phòng dùng nhiều (65% doanh thu) sẽ gia hạn ở giá hiện tại khi SổSạch giảm được giờ nhập, giữ doanh thu bình quân ≥ 3,71 triệu/văn phòng</t>
        </is>
      </c>
      <c r="E11" s="40" t="inlineStr">
        <is>
          <t>Doanh thu bình quân ≥ 3,71 triệu/văn phòng/tháng trên ≥ 10 văn phòng, 2 tháng liên tiếp; ≥ 80% văn phòng dùng nhiều gia hạn</t>
        </is>
      </c>
      <c r="F11" s="40" t="n">
        <v>3</v>
      </c>
      <c r="G11" s="40" t="n">
        <v>5</v>
      </c>
      <c r="H11" s="40" t="n">
        <v>0.5</v>
      </c>
      <c r="I11" s="40" t="n">
        <v>1</v>
      </c>
      <c r="J11" s="40" t="n">
        <v>0.8</v>
      </c>
      <c r="K11" s="40" t="n">
        <v>0.8</v>
      </c>
      <c r="L11" s="40" t="n">
        <v>0</v>
      </c>
      <c r="M11" s="44">
        <f>IF(COUNT(F11:L11)&lt;7,"",ROUND(F11*G11*H11/I11*(0.5+0.5*AVERAGE(J11:K11))*(1-0.5*L11),2))</f>
        <v/>
      </c>
      <c r="N11" s="44">
        <f>IF(M11="","",RANK(M11,$M$5:$M$14))</f>
        <v/>
      </c>
      <c r="O11" s="45">
        <f>IF(B11="","",IF(OR(D11="",E11=""),"Thiếu",IF(SUMPRODUCT(--ISNUMBER(SEARCH({"0","1","2","3","4","5","6","7","8","9"},E11)))&gt;0,"Có","Thiếu")))</f>
        <v/>
      </c>
      <c r="P11" s="46" t="inlineStr">
        <is>
          <t>Tự làm</t>
        </is>
      </c>
      <c r="Q11" s="46" t="inlineStr">
        <is>
          <t>Hạng 3. Thêm việc: kiểm chứng biến nguy hiểm nhất của đề (doanh thu bình quân). Không cần xây tính năng; cần để quyết định ở ngày 90 trước khi hết tiền tháng 7</t>
        </is>
      </c>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AI đọc hóa đơn (ảnh + tệp gốc), tra MST, điền sẵn và gắn cờ</t>
        </is>
      </c>
      <c r="D5" s="40" t="inlineStr">
        <is>
          <t>Kế toán viên của công ty xem 100% hóa đơn, đối chiếu ảnh gốc, sửa rồi nhập; chị Hạnh kiểm 1% hóa đơn thật, đếm riêng cờ thừa</t>
        </is>
      </c>
      <c r="E5" s="40" t="inlineStr">
        <is>
          <t>— (mức khởi đầu; bản 2 đã qua cổng phát hành: 97,3%, 0 lỗi nghiêm trọng, kappa 0,90)</t>
        </is>
      </c>
      <c r="F5" s="40" t="inlineStr">
        <is>
          <t>Tích hợp dịch vụ tra cứu MST; lưu ảnh/tệp gốc để tra lại; nhật ký sửa; thông báo cho văn phòng biết dữ liệu do AI đọc (Luật AI 134/2025/QH15, NĐ 142/2026 Điều 18); thỏa thuận xử lý dữ liệu</t>
        </is>
      </c>
      <c r="G5" s="40" t="inlineStr">
        <is>
          <t>Tháng 1</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AI tự nhập hóa đơn không gắn cờ; hóa đơn gắn cờ vào hàng chờ</t>
        </is>
      </c>
      <c r="D6" s="40" t="inlineStr">
        <is>
          <t>Kế toán viên duyệt mọi hóa đơn gắn cờ + mẫu ngẫu nhiên 10% (~20%); chị Hạnh kiểm 1%</t>
        </is>
      </c>
      <c r="E6" s="40" t="inlineStr">
        <is>
          <t>0 lỗi MST/tiền trên ≥ 3.000 hóa đơn thật đã duyệt 100% ở Mức 0 (quy tắc ba: lỗi thật &lt; 0,1%); gắn cờ ≤ 20%, cờ thừa ≤ 10%; bộ đề 40 ca không tầng tụt; chị Hạnh xác nhận</t>
        </is>
      </c>
      <c r="F6" s="40" t="inlineStr">
        <is>
          <t>Hàng chờ duyệt theo cờ; bảng giám sát lỗi MST/tiền, tỷ lệ cờ; cảnh báo ngay khi có 1 lỗi MST/tiền</t>
        </is>
      </c>
      <c r="G6" s="40" t="inlineStr">
        <is>
          <t>Tháng 2–3</t>
        </is>
      </c>
      <c r="H6" s="47" t="n">
        <v>0.2</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AI tự nhập và tự chuyển hóa đơn độ tin cậy thấp cho người; xử lý ≥ 3 văn phòng</t>
        </is>
      </c>
      <c r="D7" s="40" t="inlineStr">
        <is>
          <t>Duyệt hóa đơn gắn cờ + mẫu 5% (~10%); anh Tùng chấm lại bộ đề mỗi lần đổi mô hình</t>
        </is>
      </c>
      <c r="E7" s="40" t="inlineStr">
        <is>
          <t>0 lỗi MST/tiền trên ≥ 10.000 hóa đơn thật của ≥ 3 văn phòng (lỗi thật &lt; 0,03%); cờ thừa ≤ 5%; bộ đề mở rộng ≥ 80 ca, tỷ lệ đạt quy về thực tế ≥ 97%; chị Hạnh + quản lý sản phẩm xác nhận</t>
        </is>
      </c>
      <c r="F7" s="40" t="inlineStr">
        <is>
          <t>Mở rộng bộ đề lên ≥ 80 ca (thêm tầng Nguy hiểm); quy trình khiếu nại; anh Tùng chấm chính để tiết kiệm giờ chị Hạnh</t>
        </is>
      </c>
      <c r="G7" s="40" t="inlineStr">
        <is>
          <t>Tháng 4–6 (nếu qua cổng)</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AI tự nhập gần hết; chỉ hóa đơn Nguy hiểm/Ngoài phạm vi chuyển người</t>
        </is>
      </c>
      <c r="D8" s="40" t="inlineStr">
        <is>
          <t>Theo dõi bảng giám sát; kiểm mẫu 5% và ngoại lệ</t>
        </is>
      </c>
      <c r="E8" s="40" t="inlineStr">
        <is>
          <t>0 lỗi MST/tiền trên ≥ 30.000 hóa đơn thật trong 2 tháng trên ≥ 10 văn phòng (lỗi thật &lt; 0,01%); khiếu nại &lt; 0,5%; ban lãnh đạo duyệt</t>
        </is>
      </c>
      <c r="F8" s="40" t="inlineStr">
        <is>
          <t>Lưu vết đầy đủ để tra lại khi quyết toán; rà soát mức rủi ro theo Luật AI</t>
        </is>
      </c>
      <c r="G8" s="40" t="inlineStr">
        <is>
          <t>Chưa hứa ngày: chỉ khi qua cổng</t>
        </is>
      </c>
      <c r="H8" s="47" t="n">
        <v>0.05</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254</v>
      </c>
      <c r="C12" s="53" t="inlineStr">
        <is>
          <t>Hồ sơ, bảng Số liệu kinh tế, dòng 1</t>
        </is>
      </c>
    </row>
    <row r="13" ht="15" customHeight="1" s="33">
      <c r="A13" s="51" t="inlineStr">
        <is>
          <t>Hạ tầng + đánh giá + khác / việc</t>
        </is>
      </c>
      <c r="B13" s="52" t="n">
        <v>200</v>
      </c>
      <c r="C13" s="53" t="inlineStr">
        <is>
          <t>dòng 2</t>
        </is>
      </c>
    </row>
    <row r="14" ht="15" customHeight="1" s="33">
      <c r="A14" s="51" t="inlineStr">
        <is>
          <t>Số phút người duyệt / việc</t>
        </is>
      </c>
      <c r="B14" s="54" t="n">
        <v>1.5</v>
      </c>
      <c r="C14" s="53" t="inlineStr">
        <is>
          <t>dòng 3</t>
        </is>
      </c>
    </row>
    <row r="15" ht="15" customHeight="1" s="33">
      <c r="A15" s="51" t="inlineStr">
        <is>
          <t>Chi phí 1 giờ người duyệt (đ)</t>
        </is>
      </c>
      <c r="B15" s="52" t="n">
        <v>50000</v>
      </c>
      <c r="C15" s="53" t="inlineStr">
        <is>
          <t>dòng 4</t>
        </is>
      </c>
    </row>
    <row r="16" ht="15" customHeight="1" s="33">
      <c r="A16" s="51" t="inlineStr">
        <is>
          <t>Doanh thu bình quân / khách / tháng (đ)</t>
        </is>
      </c>
      <c r="B16" s="52" t="n">
        <v>3970000</v>
      </c>
      <c r="C16" s="53" t="inlineStr">
        <is>
          <t>dòng 5</t>
        </is>
      </c>
    </row>
    <row r="17" ht="15" customHeight="1" s="33">
      <c r="A17" s="51" t="inlineStr">
        <is>
          <t>Số việc bình quân / khách / tháng</t>
        </is>
      </c>
      <c r="B17" s="52" t="n">
        <v>1760</v>
      </c>
      <c r="C17" s="53" t="inlineStr">
        <is>
          <t>dòng 6</t>
        </is>
      </c>
    </row>
    <row r="18" ht="15" customHeight="1" s="33">
      <c r="A18" s="51" t="inlineStr">
        <is>
          <t>Biến nguy hiểm nhất</t>
        </is>
      </c>
      <c r="B18" s="46" t="inlineStr">
        <is>
          <t>Doanh thu bình quân (65% doanh thu đến từ 30% văn phòng dùng nhiều)</t>
        </is>
      </c>
      <c r="C18" s="53" t="inlineStr">
        <is>
          <t>dòng 7</t>
        </is>
      </c>
    </row>
    <row r="19" ht="15" customHeight="1" s="33">
      <c r="A19" s="51" t="inlineStr">
        <is>
          <t>Điều kiện dừng đã chọn (theo đề)</t>
        </is>
      </c>
      <c r="B19" s="46" t="inlineStr">
        <is>
          <t>NẾU doanh thu bình quân dưới 3,71 triệu/văn phòng trong 2 tháng liên tiếp, trên ít nhất 10 văn phòng, THÌ dừng mở rộng</t>
        </is>
      </c>
      <c r="C19" s="53" t="inlineStr">
        <is>
          <t>dòng 8</t>
        </is>
      </c>
    </row>
    <row r="20" ht="15" customHeight="1" s="33">
      <c r="A20" s="51" t="inlineStr">
        <is>
          <t>Kịch bản xấu hết tiền ở tháng</t>
        </is>
      </c>
      <c r="B20" s="55" t="n">
        <v>7</v>
      </c>
      <c r="C20" s="53" t="inlineStr">
        <is>
          <t>dòng 9</t>
        </is>
      </c>
    </row>
    <row r="22" ht="15" customHeight="1" s="33">
      <c r="A22" s="53" t="inlineStr">
        <is>
          <t>Ghi chú: người duyệt của mình là kế toán viên của công ty. Gợi ý của đề: Mức 1 duyệt khoảng 20%; Mức 2 khoảng 10%.</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Đối chiếu MST người bán (hạng 1, Mua: tích hợp dịch vụ tra cứu) + gắn cờ hóa đơn cần người xem (hạng 2) + vận hành bản 2 đọc ảnh (hạng 4) + kiểm chứng doanh thu văn phòng dùng nhiều (hạng 3)</t>
        </is>
      </c>
      <c r="C5" s="40" t="inlineStr">
        <is>
          <t>Mức 2 cho ≥ 3 văn phòng; bắt đầu thu dữ liệu hạch toán cho việc 5</t>
        </is>
      </c>
      <c r="D5" s="40" t="inlineStr">
        <is>
          <t>Gợi ý tài khoản hạch toán (việc 5) nếu đủ dữ liệu; xem xét Mức 3</t>
        </is>
      </c>
    </row>
    <row r="6" ht="48" customHeight="1" s="33">
      <c r="A6" s="56" t="inlineStr">
        <is>
          <t>Giả thuyết</t>
        </is>
      </c>
      <c r="B6" s="40" t="inlineStr">
        <is>
          <t>Ta tin rằng đối chiếu MST + gắn cờ đúng cho kế toán viên sẽ giúp họ chỉ xem ~20% hóa đơn, giảm 50% giờ nhập hóa đơn ảnh, không lọt lỗi MST/tiền; văn phòng dùng nhiều sẽ gia hạn</t>
        </is>
      </c>
      <c r="C6" s="40" t="inlineStr">
        <is>
          <t>Gắn cờ ổn định → giảm duyệt còn 10% mà vẫn 0 lỗi MST/tiền</t>
        </is>
      </c>
      <c r="D6" s="40" t="inlineStr">
        <is>
          <t>Đủ lịch sử hạch toán → gợi ý giảm 30% thời gian hạch toán</t>
        </is>
      </c>
    </row>
    <row r="7" ht="48" customHeight="1" s="33">
      <c r="A7" s="56" t="inlineStr">
        <is>
          <t>Chỉ số thành công và ngưỡng</t>
        </is>
      </c>
      <c r="B7" s="40" t="inlineStr">
        <is>
          <t>0 lỗi MST/tiền lọt vào sổ; gắn cờ ≤ 20%, cờ thừa ≤ 10%; giờ nhập hóa đơn ảnh giảm ≥ 50%; doanh thu bình quân ≥ 3,71 triệu/văn phòng</t>
        </is>
      </c>
      <c r="C7" s="40" t="inlineStr">
        <is>
          <t>Cờ thừa ≤ 5%; 0 lỗi MST/tiền trên ≥ 10.000 hóa đơn</t>
        </is>
      </c>
      <c r="D7" s="40" t="inlineStr">
        <is>
          <t>≥ 80% gợi ý được chấp nhận không sửa</t>
        </is>
      </c>
    </row>
    <row r="8" ht="48" customHeight="1" s="33">
      <c r="A8" s="56" t="inlineStr">
        <is>
          <t>Mức tự động (trang 2)</t>
        </is>
      </c>
      <c r="B8" s="40" t="inlineStr">
        <is>
          <t>Mức 0 (duyệt 100%) tháng 1 → Mức 1 (duyệt 20%) tháng 2–3</t>
        </is>
      </c>
      <c r="C8" s="40" t="inlineStr">
        <is>
          <t>Mức 2 (duyệt 10%)</t>
        </is>
      </c>
      <c r="D8" s="40" t="inlineStr">
        <is>
          <t>Thử Mức 3 (duyệt 5%), không hứa ngày</t>
        </is>
      </c>
    </row>
    <row r="9" ht="48" customHeight="1" s="33">
      <c r="A9" s="56" t="inlineStr">
        <is>
          <t>Cổng đánh giá</t>
        </is>
      </c>
      <c r="B9" s="40" t="inlineStr">
        <is>
          <t>Lên Mức 1: 0 lỗi MST/tiền trên ≥ 3.000 hóa đơn thật (lỗi thật &lt; 0,1%); gắn cờ ≤ 20%, cờ thừa ≤ 10%; bộ đề 40 ca không tầng tụt; chị Hạnh xác nhận</t>
        </is>
      </c>
      <c r="C9" s="40" t="inlineStr">
        <is>
          <t>0 lỗi MST/tiền trên ≥ 10.000 hóa đơn của ≥ 3 văn phòng; bộ đề ≥ 80 ca đạt ≥ 97%</t>
        </is>
      </c>
      <c r="D9" s="40" t="inlineStr">
        <is>
          <t>0 lỗi MST/tiền trên ≥ 30.000 hóa đơn trong 2 tháng, ≥ 10 văn phòng</t>
        </is>
      </c>
    </row>
    <row r="10" ht="48" customHeight="1" s="33">
      <c r="A10" s="56" t="inlineStr">
        <is>
          <t>Điều kiện cần: dữ liệu / hạ tầng / tuân thủ</t>
        </is>
      </c>
      <c r="B10" s="40" t="inlineStr">
        <is>
          <t>Tích hợp dịch vụ tra cứu MST; lưu ảnh/tệp gốc; nhật ký sửa; thông báo dữ liệu do AI đọc (Luật AI, NĐ 142/2026 Điều 18); chị Hạnh 3 giờ/tuần kiểm 1% (~120 hóa đơn/tháng ≈ 3 giờ), anh Tùng chấm bộ đề (8,5 giờ/vòng)</t>
        </is>
      </c>
      <c r="C10" s="40" t="inlineStr">
        <is>
          <t>Bộ đề ≥ 80 ca; quy trình khiếu nại; dữ liệu hạch toán có đồng ý của doanh nghiệp</t>
        </is>
      </c>
      <c r="D10" s="40" t="inlineStr">
        <is>
          <t>Dữ liệu hạch toán đủ 6 tháng; lưu vết khi quyết toán; rà soát Luật AI</t>
        </is>
      </c>
    </row>
    <row r="11" ht="48" customHeight="1" s="33">
      <c r="A11" s="56" t="inlineStr">
        <is>
          <t>Căn cứ kinh tế (số liệu của đề và trang 2)</t>
        </is>
      </c>
      <c r="B11" s="40" t="inlineStr">
        <is>
          <t>Doanh thu 2.256 đ/hóa đơn (3,97 triệu ÷ 1.760). Mức 0: 1.704 đ → biên 24%; Mức 1: 704 đ → biên 69%. Kịch bản xấu hết tiền tháng 7 → phải lên Mức 1 trong 3 tháng đầu</t>
        </is>
      </c>
      <c r="C11" s="40" t="inlineStr">
        <is>
          <t>Mức 2: 579 đ → biên 74%; mở rộng chỉ khi doanh thu bình quân ≥ 3,71 triệu</t>
        </is>
      </c>
      <c r="D11" s="40" t="inlineStr">
        <is>
          <t>Chỉ làm nếu tầng Tiếp theo giữ biên ≥ 60%</t>
        </is>
      </c>
    </row>
    <row r="12" ht="48" customHeight="1" s="33">
      <c r="A12" s="56" t="inlineStr">
        <is>
          <t>Điều kiện dừng / đổi hướng</t>
        </is>
      </c>
      <c r="B12" s="40" t="inlineStr">
        <is>
          <t>NẾU 1 lỗi MST/tiền lọt vào sổ THÌ lùi ngay về Mức 0. NẾU ngày 60 tỷ lệ gắn cờ &gt; 35% THÌ giữ Mức 0, sửa luật gắn cờ. NẾU doanh thu bình quân &lt; 3,71 triệu/văn phòng 2 tháng liên tiếp trên ≥ 10 văn phòng THÌ dừng mở rộng</t>
        </is>
      </c>
      <c r="C12" s="40" t="inlineStr">
        <is>
          <t>Có lỗi MST/tiền hoặc khiếu nại &gt; 1% → lùi về Mức 1</t>
        </is>
      </c>
      <c r="D12" s="40" t="inlineStr">
        <is>
          <t>Phần mềm kế toán ra tính năng đọc ảnh/gắn cờ tương tự miễn phí → bỏ việc bị nuốt, tập trung gợi ý hạch toán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Số lỗi MST/tiền (phải = 0); tỷ lệ gắn cờ và cờ thừa (chị Hạnh kiểm 1%); giờ nhập/100 hóa đơn ảnh</t>
        </is>
      </c>
      <c r="C5" s="40" t="inlineStr">
        <is>
          <t>Đi tiếp / Sửa (luật gắn cờ, cách chụp ảnh)</t>
        </is>
      </c>
      <c r="D5" s="40" t="inlineStr">
        <is>
          <t>Quản lý sản phẩm + chị Hạnh</t>
        </is>
      </c>
    </row>
    <row r="6" ht="15" customHeight="1" s="33">
      <c r="A6" s="40" t="inlineStr">
        <is>
          <t>Ngày 60</t>
        </is>
      </c>
      <c r="B6" s="40" t="inlineStr">
        <is>
          <t>Cổng Mức 0 → 1: 0 lỗi MST/tiền trên ≥ 3.000 hóa đơn; gắn cờ ≤ 20%, cờ thừa ≤ 10%; chi phí mỗi hóa đơn thực tế</t>
        </is>
      </c>
      <c r="C6" s="40" t="inlineStr">
        <is>
          <t>Đi tiếp (lên Mức 1) / Sửa (giữ Mức 0)</t>
        </is>
      </c>
      <c r="D6" s="40" t="inlineStr">
        <is>
          <t>Quản lý sản phẩm + trưởng nhóm kỹ thuật + chị Hạnh</t>
        </is>
      </c>
    </row>
    <row r="7" ht="15" customHeight="1" s="33">
      <c r="A7" s="40" t="inlineStr">
        <is>
          <t>Ngày 90</t>
        </is>
      </c>
      <c r="B7" s="40" t="inlineStr">
        <is>
          <t>Doanh thu bình quân so với 3,71 triệu (2 tháng, ≥ 10 văn phòng); tỷ lệ văn phòng dùng nhiều gia hạn; biên ở Mức 1 ≥ 60%</t>
        </is>
      </c>
      <c r="C7" s="40" t="inlineStr">
        <is>
          <t>Đi tiếp (mở rộng) / Đổi hướng (gói giá) / Dừng mở rộng; quyết định có làm việc 5</t>
        </is>
      </c>
      <c r="D7" s="40" t="inlineStr">
        <is>
          <t>Ban lãnh đạo</t>
        </is>
      </c>
    </row>
    <row r="8" ht="15" customHeight="1" s="33">
      <c r="A8" s="40" t="inlineStr">
        <is>
          <t>Có mô hình mới / giá gọi AI giảm mạnh</t>
        </is>
      </c>
      <c r="B8" s="40" t="inlineStr">
        <is>
          <t>Anh Tùng chạy lại bộ đề 40 ca (8,5 giờ) trên mô hình mới; tính lại chi phí gọi AI (hiện 254 đ/hóa đơn)</t>
        </is>
      </c>
      <c r="C8" s="40" t="inlineStr">
        <is>
          <t>Đổi mô hình? Hạ giá? Giữ nguyên mức tự động cho đến khi qua cổng lại</t>
        </is>
      </c>
      <c r="D8" s="40" t="inlineStr">
        <is>
          <t>Quản lý sản phẩm + trưởng nhóm kỹ thuật</t>
        </is>
      </c>
    </row>
    <row r="9" ht="15" customHeight="1" s="33">
      <c r="A9" s="40" t="inlineStr">
        <is>
          <t>Nền tảng hoặc đối thủ ra tính năng tương tự</t>
        </is>
      </c>
      <c r="B9" s="40" t="inlineStr">
        <is>
          <t>Phần mềm kế toán hoặc dịch vụ tra cứu MST ra tính năng đọc ảnh/gắn cờ</t>
        </is>
      </c>
      <c r="C9" s="40" t="inlineStr">
        <is>
          <t>Bỏ việc bị nuốt, dồn lực vào gắn cờ theo từng văn phòng và gợi ý hạch toán</t>
        </is>
      </c>
      <c r="D9" s="40" t="inlineStr">
        <is>
          <t>Ban lãnh đạo</t>
        </is>
      </c>
    </row>
    <row r="10" ht="15" customHeight="1" s="33">
      <c r="A10" s="40" t="inlineStr">
        <is>
          <t>Quy định pháp lý thay đổi</t>
        </is>
      </c>
      <c r="B10" s="40" t="inlineStr">
        <is>
          <t>Mức rủi ro theo Luật AI 134/2025/QH15; NĐ 142/2026 (thông báo, gắn nhãn); hạn chuyển tiếp Điều 35</t>
        </is>
      </c>
      <c r="C10" s="40" t="inlineStr">
        <is>
          <t>Thêm kiểm soát, thông báo, lưu vết; cập nhật cổng</t>
        </is>
      </c>
      <c r="D10" s="40" t="inlineStr">
        <is>
          <t>Quản lý sản phẩm + pháp chế</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Lên Mức 1 trong 3 tháng: kế toán chỉ xem 20% hóa đơn, 0 lỗi MST/tiền trên 3.000 hóa đơn, biên 69%; ngày 90 quyết định mở rộng nếu doanh thu ≥ 3,71 triệu/văn phòng.</t>
        </is>
      </c>
      <c r="C4" s="58">
        <f>IF(TRIM(B4)="",0,LEN(TRIM(B4))-LEN(SUBSTITUTE(TRIM(B4)," ",""))+1)</f>
        <v/>
      </c>
      <c r="D4" s="50">
        <f>IF(C4=0,"Trống",IF(C4&gt;60,"Quá 60 chữ","Đạt"))</f>
        <v/>
      </c>
    </row>
    <row r="5" ht="33.75" customHeight="1" s="33">
      <c r="A5" s="57" t="inlineStr">
        <is>
          <t>3 việc chính</t>
        </is>
      </c>
      <c r="B5" s="40" t="inlineStr">
        <is>
          <t>Bây giờ: đối chiếu MST + gắn cờ + đọc ảnh bản 2 + kiểm chứng doanh thu · Tiếp theo: Mức 2 (duyệt 10%), thu dữ liệu hạch toán · Sau này: gợi ý hạch toán</t>
        </is>
      </c>
      <c r="C5" s="58">
        <f>IF(TRIM(B5)="",0,LEN(TRIM(B5))-LEN(SUBSTITUTE(TRIM(B5)," ",""))+1)</f>
        <v/>
      </c>
      <c r="D5" s="50">
        <f>IF(C5=0,"Trống",IF(C5&gt;60,"Quá 60 chữ","Đạt"))</f>
        <v/>
      </c>
    </row>
    <row r="6" ht="33.75" customHeight="1" s="33">
      <c r="A6" s="57" t="inlineStr">
        <is>
          <t>Cần gì (người, tiền, dữ liệu)</t>
        </is>
      </c>
      <c r="B6" s="40" t="inlineStr">
        <is>
          <t>Chị Hạnh 3 giờ/tuần kiểm 1% hóa đơn; anh Tùng chấm bộ đề (8,5 giờ/vòng); tích hợp dịch vụ tra cứu MST; ≥ 10 văn phòng thử nghiệm</t>
        </is>
      </c>
      <c r="C6" s="58">
        <f>IF(TRIM(B6)="",0,LEN(TRIM(B6))-LEN(SUBSTITUTE(TRIM(B6)," ",""))+1)</f>
        <v/>
      </c>
      <c r="D6" s="50">
        <f>IF(C6=0,"Trống",IF(C6&gt;60,"Quá 60 chữ","Đạt"))</f>
        <v/>
      </c>
    </row>
    <row r="7" ht="33.75" customHeight="1" s="33">
      <c r="A7" s="57" t="inlineStr">
        <is>
          <t>Rủi ro lớn nhất &amp; cách xử lý</t>
        </is>
      </c>
      <c r="B7" s="40" t="inlineStr">
        <is>
          <t>Doanh thu phụ thuộc 30% văn phòng dùng nhiều (65%), hết tiền tháng 7 → kiểm chứng gia hạn ngay; 1 lỗi MST/tiền → lùi Mức 0</t>
        </is>
      </c>
      <c r="C7" s="58">
        <f>IF(TRIM(B7)="",0,LEN(TRIM(B7))-LEN(SUBSTITUTE(TRIM(B7)," ",""))+1)</f>
        <v/>
      </c>
      <c r="D7" s="50">
        <f>IF(C7=0,"Trống",IF(C7&gt;60,"Quá 60 chữ","Đạt"))</f>
        <v/>
      </c>
    </row>
    <row r="8" ht="33.75" customHeight="1" s="33">
      <c r="A8" s="57" t="inlineStr">
        <is>
          <t>Khi nào xem lại</t>
        </is>
      </c>
      <c r="B8" s="40" t="inlineStr">
        <is>
          <t>Ngày 30/60/90; khi có mô hình mới, phần mềm kế toán ra tính năng tương tự hoặc quy định AI thay đổi</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2026-10-16T10:09:23Z</dcterms:modified>
  <cp:revision>0</cp:revision>
</cp:coreProperties>
</file>